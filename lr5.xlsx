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ladisl4W\Desktop\"/>
    </mc:Choice>
  </mc:AlternateContent>
  <xr:revisionPtr revIDLastSave="0" documentId="13_ncr:1_{514BEB4D-75A7-4324-BDB9-F076BC730402}" xr6:coauthVersionLast="47" xr6:coauthVersionMax="47" xr10:uidLastSave="{00000000-0000-0000-0000-000000000000}"/>
  <bookViews>
    <workbookView xWindow="-108" yWindow="-108" windowWidth="23256" windowHeight="12456" xr2:uid="{E3A123AE-BD40-4DC0-BFE5-AE93DF2F5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8" i="1" l="1"/>
  <c r="I28" i="1"/>
  <c r="H28" i="1"/>
  <c r="D28" i="1"/>
  <c r="E28" i="1"/>
  <c r="F28" i="1"/>
  <c r="G28" i="1"/>
  <c r="C28" i="1"/>
  <c r="G36" i="1"/>
  <c r="F36" i="1"/>
  <c r="E36" i="1"/>
  <c r="D36" i="1"/>
  <c r="C36" i="1"/>
  <c r="D8" i="1"/>
  <c r="E8" i="1"/>
  <c r="F8" i="1"/>
  <c r="G8" i="1"/>
  <c r="C8" i="1"/>
  <c r="S22" i="1"/>
  <c r="S23" i="1"/>
  <c r="S21" i="1"/>
  <c r="R22" i="1"/>
  <c r="R23" i="1"/>
  <c r="R21" i="1"/>
  <c r="O23" i="1"/>
  <c r="O24" i="1"/>
  <c r="O22" i="1"/>
  <c r="J24" i="1"/>
  <c r="K24" i="1"/>
  <c r="L24" i="1"/>
  <c r="M24" i="1"/>
  <c r="N24" i="1"/>
  <c r="J23" i="1"/>
  <c r="K23" i="1"/>
  <c r="L23" i="1"/>
  <c r="M23" i="1"/>
  <c r="N23" i="1"/>
  <c r="K22" i="1"/>
  <c r="L22" i="1"/>
  <c r="M22" i="1"/>
  <c r="N22" i="1"/>
  <c r="J22" i="1"/>
  <c r="AK9" i="1"/>
  <c r="AJ9" i="1"/>
  <c r="AK7" i="1"/>
  <c r="AK10" i="1" s="1"/>
  <c r="AJ7" i="1"/>
  <c r="AJ10" i="1" s="1"/>
  <c r="AI7" i="1"/>
  <c r="AI10" i="1" s="1"/>
  <c r="AE9" i="1"/>
  <c r="AD9" i="1"/>
  <c r="AC9" i="1"/>
  <c r="AF9" i="1" s="1"/>
  <c r="AD14" i="1" s="1"/>
  <c r="AE14" i="1" s="1"/>
  <c r="AE7" i="1"/>
  <c r="AE10" i="1" s="1"/>
  <c r="AD7" i="1"/>
  <c r="AD10" i="1" s="1"/>
  <c r="AC7" i="1"/>
  <c r="AC10" i="1" s="1"/>
  <c r="Y9" i="1"/>
  <c r="X9" i="1"/>
  <c r="W9" i="1"/>
  <c r="Z9" i="1" s="1"/>
  <c r="X14" i="1" s="1"/>
  <c r="Y14" i="1" s="1"/>
  <c r="Y8" i="1"/>
  <c r="Y7" i="1"/>
  <c r="Y10" i="1" s="1"/>
  <c r="X7" i="1"/>
  <c r="X10" i="1" s="1"/>
  <c r="W7" i="1"/>
  <c r="W10" i="1" s="1"/>
  <c r="R9" i="1"/>
  <c r="Q9" i="1"/>
  <c r="S7" i="1"/>
  <c r="S10" i="1" s="1"/>
  <c r="R7" i="1"/>
  <c r="R10" i="1" s="1"/>
  <c r="Q7" i="1"/>
  <c r="Q10" i="1" s="1"/>
  <c r="L7" i="1"/>
  <c r="L10" i="1" s="1"/>
  <c r="M7" i="1"/>
  <c r="M10" i="1" s="1"/>
  <c r="K7" i="1"/>
  <c r="K10" i="1" s="1"/>
  <c r="N10" i="1" s="1"/>
  <c r="L15" i="1" s="1"/>
  <c r="C11" i="1"/>
  <c r="D11" i="1"/>
  <c r="E11" i="1"/>
  <c r="F11" i="1"/>
  <c r="G11" i="1"/>
  <c r="C12" i="1"/>
  <c r="D12" i="1"/>
  <c r="E12" i="1"/>
  <c r="F12" i="1"/>
  <c r="G12" i="1"/>
  <c r="C13" i="1"/>
  <c r="H13" i="1" s="1"/>
  <c r="D13" i="1"/>
  <c r="E13" i="1"/>
  <c r="F13" i="1"/>
  <c r="G13" i="1"/>
  <c r="C14" i="1"/>
  <c r="D14" i="1"/>
  <c r="E14" i="1"/>
  <c r="F14" i="1"/>
  <c r="G14" i="1"/>
  <c r="D10" i="1"/>
  <c r="E10" i="1"/>
  <c r="F10" i="1"/>
  <c r="G10" i="1"/>
  <c r="C10" i="1"/>
  <c r="H10" i="1" s="1"/>
  <c r="D18" i="1" s="1"/>
  <c r="S8" i="1" l="1"/>
  <c r="H11" i="1"/>
  <c r="H14" i="1"/>
  <c r="C22" i="1" s="1"/>
  <c r="S9" i="1"/>
  <c r="T9" i="1" s="1"/>
  <c r="R14" i="1" s="1"/>
  <c r="K20" i="1" s="1"/>
  <c r="H12" i="1"/>
  <c r="D20" i="1" s="1"/>
  <c r="AK8" i="1"/>
  <c r="M20" i="1"/>
  <c r="AE8" i="1"/>
  <c r="AI9" i="1"/>
  <c r="L20" i="1"/>
  <c r="C18" i="1"/>
  <c r="J21" i="1"/>
  <c r="M15" i="1"/>
  <c r="C19" i="1"/>
  <c r="D19" i="1"/>
  <c r="C21" i="1"/>
  <c r="AL9" i="1"/>
  <c r="AJ14" i="1" s="1"/>
  <c r="M8" i="1"/>
  <c r="M9" i="1"/>
  <c r="K8" i="1"/>
  <c r="L8" i="1"/>
  <c r="T10" i="1"/>
  <c r="R15" i="1" s="1"/>
  <c r="K21" i="1" s="1"/>
  <c r="Z10" i="1"/>
  <c r="X15" i="1" s="1"/>
  <c r="AF10" i="1"/>
  <c r="AD15" i="1" s="1"/>
  <c r="AL10" i="1"/>
  <c r="AJ15" i="1" s="1"/>
  <c r="L9" i="1"/>
  <c r="K9" i="1"/>
  <c r="N9" i="1" s="1"/>
  <c r="L14" i="1" s="1"/>
  <c r="AI8" i="1"/>
  <c r="AJ8" i="1"/>
  <c r="AC8" i="1"/>
  <c r="AD8" i="1"/>
  <c r="W8" i="1"/>
  <c r="X8" i="1"/>
  <c r="Q8" i="1"/>
  <c r="R8" i="1"/>
  <c r="AK14" i="1" l="1"/>
  <c r="N20" i="1"/>
  <c r="AE15" i="1"/>
  <c r="M21" i="1"/>
  <c r="C20" i="1"/>
  <c r="AK15" i="1"/>
  <c r="N21" i="1"/>
  <c r="Y15" i="1"/>
  <c r="L21" i="1"/>
  <c r="D22" i="1"/>
  <c r="J20" i="1"/>
  <c r="M14" i="1"/>
  <c r="N8" i="1"/>
  <c r="L13" i="1" s="1"/>
  <c r="AL8" i="1"/>
  <c r="AJ13" i="1" s="1"/>
  <c r="AF8" i="1"/>
  <c r="AD13" i="1" s="1"/>
  <c r="Z8" i="1"/>
  <c r="X13" i="1" s="1"/>
  <c r="T8" i="1"/>
  <c r="R13" i="1" s="1"/>
  <c r="K19" i="1" s="1"/>
  <c r="Y13" i="1" l="1"/>
  <c r="L19" i="1"/>
  <c r="AE13" i="1"/>
  <c r="M19" i="1"/>
  <c r="AK13" i="1"/>
  <c r="N19" i="1"/>
  <c r="J19" i="1"/>
  <c r="M13" i="1"/>
  <c r="D21" i="1"/>
  <c r="S15" i="1"/>
  <c r="S14" i="1"/>
  <c r="S13" i="1"/>
</calcChain>
</file>

<file path=xl/sharedStrings.xml><?xml version="1.0" encoding="utf-8"?>
<sst xmlns="http://schemas.openxmlformats.org/spreadsheetml/2006/main" count="106" uniqueCount="15">
  <si>
    <t>цена</t>
  </si>
  <si>
    <t xml:space="preserve">размер </t>
  </si>
  <si>
    <t xml:space="preserve">комнаты </t>
  </si>
  <si>
    <t xml:space="preserve">близость </t>
  </si>
  <si>
    <t xml:space="preserve">категория </t>
  </si>
  <si>
    <t xml:space="preserve">цена </t>
  </si>
  <si>
    <t>близость</t>
  </si>
  <si>
    <t>категория</t>
  </si>
  <si>
    <t xml:space="preserve">Квартира 1 </t>
  </si>
  <si>
    <t xml:space="preserve">Квартира 2 </t>
  </si>
  <si>
    <t xml:space="preserve">Квартира 3 </t>
  </si>
  <si>
    <t>Квартира 1</t>
  </si>
  <si>
    <t xml:space="preserve">СУММА </t>
  </si>
  <si>
    <t xml:space="preserve">Вес в долях </t>
  </si>
  <si>
    <t xml:space="preserve">Вес в процентах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</si>
</sst>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2" fillId="0" borderId="1" xfId="0" applyNumberFormat="1" applyFont="1" applyBorder="1" applyAlignment="1">
      <alignment horizontal="justify" vertical="center" wrapText="1"/>
    </xf>
    <xf numFmtId="2" fontId="3" fillId="0" borderId="2" xfId="0" applyNumberFormat="1" applyFont="1" applyBorder="1" applyAlignment="1">
      <alignment vertical="center" wrapText="1"/>
    </xf>
    <xf numFmtId="2" fontId="3" fillId="0" borderId="3" xfId="0" applyNumberFormat="1" applyFont="1" applyBorder="1" applyAlignment="1">
      <alignment vertical="center" wrapText="1"/>
    </xf>
    <xf numFmtId="2" fontId="1" fillId="0" borderId="4" xfId="0" applyNumberFormat="1" applyFont="1" applyBorder="1" applyAlignment="1">
      <alignment vertical="center" wrapText="1"/>
    </xf>
    <xf numFmtId="2" fontId="4" fillId="0" borderId="3" xfId="0" applyNumberFormat="1" applyFont="1" applyBorder="1" applyAlignment="1">
      <alignment horizontal="justify" vertical="center" wrapText="1"/>
    </xf>
    <xf numFmtId="2" fontId="0" fillId="0" borderId="0" xfId="0" applyNumberFormat="1"/>
    <xf numFmtId="10" fontId="0" fillId="0" borderId="0" xfId="0" applyNumberFormat="1"/>
    <xf numFmtId="2" fontId="0" fillId="2" borderId="0" xfId="0" applyNumberFormat="1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610A-780D-46E4-880A-F76F8E20D18D}">
  <dimension ref="A1:AL36"/>
  <sheetViews>
    <sheetView tabSelected="1" topLeftCell="B14" workbookViewId="0">
      <selection activeCell="L29" sqref="L29"/>
    </sheetView>
  </sheetViews>
  <sheetFormatPr defaultRowHeight="14.4" x14ac:dyDescent="0.3"/>
  <cols>
    <col min="1" max="2" width="8.88671875" style="6"/>
    <col min="3" max="6" width="10.21875" style="6" bestFit="1" customWidth="1"/>
    <col min="7" max="7" width="9" style="6" bestFit="1" customWidth="1"/>
    <col min="8" max="11" width="8.88671875" style="6"/>
    <col min="12" max="12" width="11.44140625" style="6" bestFit="1" customWidth="1"/>
    <col min="13" max="16384" width="8.88671875" style="6"/>
  </cols>
  <sheetData>
    <row r="1" spans="1:38" ht="15" thickBot="1" x14ac:dyDescent="0.35"/>
    <row r="2" spans="1:38" ht="35.4" thickBot="1" x14ac:dyDescent="0.35">
      <c r="A2" s="6">
        <v>3</v>
      </c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I2" s="6">
        <v>4</v>
      </c>
      <c r="K2" s="6" t="s">
        <v>8</v>
      </c>
      <c r="L2" s="6" t="s">
        <v>9</v>
      </c>
      <c r="M2" s="6" t="s">
        <v>10</v>
      </c>
      <c r="O2" s="6">
        <v>5</v>
      </c>
      <c r="Q2" s="6" t="s">
        <v>8</v>
      </c>
      <c r="R2" s="6" t="s">
        <v>9</v>
      </c>
      <c r="S2" s="6" t="s">
        <v>10</v>
      </c>
      <c r="U2" s="6">
        <v>6</v>
      </c>
      <c r="W2" s="6" t="s">
        <v>8</v>
      </c>
      <c r="X2" s="6" t="s">
        <v>9</v>
      </c>
      <c r="Y2" s="6" t="s">
        <v>10</v>
      </c>
      <c r="AA2" s="6">
        <v>7</v>
      </c>
      <c r="AC2" s="6" t="s">
        <v>8</v>
      </c>
      <c r="AD2" s="6" t="s">
        <v>9</v>
      </c>
      <c r="AE2" s="6" t="s">
        <v>10</v>
      </c>
      <c r="AG2" s="6">
        <v>8</v>
      </c>
      <c r="AI2" s="6" t="s">
        <v>8</v>
      </c>
      <c r="AJ2" s="6" t="s">
        <v>9</v>
      </c>
      <c r="AK2" s="6" t="s">
        <v>10</v>
      </c>
    </row>
    <row r="3" spans="1:38" ht="18.600000000000001" thickBot="1" x14ac:dyDescent="0.35">
      <c r="B3" s="3" t="s">
        <v>5</v>
      </c>
      <c r="C3" s="4">
        <v>1</v>
      </c>
      <c r="D3" s="4">
        <v>3</v>
      </c>
      <c r="E3" s="4">
        <v>1</v>
      </c>
      <c r="F3" s="4">
        <v>0.5</v>
      </c>
      <c r="G3" s="4">
        <v>5</v>
      </c>
      <c r="J3" s="6" t="s">
        <v>11</v>
      </c>
      <c r="K3" s="6">
        <v>1</v>
      </c>
      <c r="L3" s="6">
        <v>4</v>
      </c>
      <c r="M3" s="6">
        <v>0.5</v>
      </c>
      <c r="P3" s="6" t="s">
        <v>8</v>
      </c>
      <c r="Q3" s="6">
        <v>1</v>
      </c>
      <c r="R3" s="6">
        <v>0.5</v>
      </c>
      <c r="S3" s="6">
        <v>3</v>
      </c>
      <c r="V3" s="6" t="s">
        <v>8</v>
      </c>
      <c r="W3" s="6">
        <v>1</v>
      </c>
      <c r="X3" s="6">
        <v>1</v>
      </c>
      <c r="Y3" s="6">
        <v>2</v>
      </c>
      <c r="AB3" s="6" t="s">
        <v>8</v>
      </c>
      <c r="AC3" s="6">
        <v>1</v>
      </c>
      <c r="AD3" s="6">
        <v>0.33333333333333331</v>
      </c>
      <c r="AE3" s="6">
        <v>4</v>
      </c>
      <c r="AH3" s="6" t="s">
        <v>8</v>
      </c>
      <c r="AI3" s="6">
        <v>1</v>
      </c>
      <c r="AJ3" s="6">
        <v>2</v>
      </c>
      <c r="AK3" s="6">
        <v>0.2</v>
      </c>
    </row>
    <row r="4" spans="1:38" ht="35.4" thickBot="1" x14ac:dyDescent="0.35">
      <c r="B4" s="3" t="s">
        <v>1</v>
      </c>
      <c r="C4" s="4">
        <v>0.33333333333333331</v>
      </c>
      <c r="D4" s="4">
        <v>1</v>
      </c>
      <c r="E4" s="4">
        <v>0.25</v>
      </c>
      <c r="F4" s="4">
        <v>0.14285714285714285</v>
      </c>
      <c r="G4" s="4">
        <v>2</v>
      </c>
      <c r="J4" s="6" t="s">
        <v>9</v>
      </c>
      <c r="K4" s="6">
        <v>0.25</v>
      </c>
      <c r="L4" s="6">
        <v>1</v>
      </c>
      <c r="M4" s="6">
        <v>0.2</v>
      </c>
      <c r="P4" s="6" t="s">
        <v>9</v>
      </c>
      <c r="Q4" s="6">
        <v>2</v>
      </c>
      <c r="R4" s="6">
        <v>1</v>
      </c>
      <c r="S4" s="6">
        <v>4</v>
      </c>
      <c r="V4" s="6" t="s">
        <v>9</v>
      </c>
      <c r="W4" s="6">
        <v>1</v>
      </c>
      <c r="X4" s="6">
        <v>1</v>
      </c>
      <c r="Y4" s="6">
        <v>3</v>
      </c>
      <c r="AB4" s="6" t="s">
        <v>9</v>
      </c>
      <c r="AC4" s="6">
        <v>3</v>
      </c>
      <c r="AD4" s="6">
        <v>1</v>
      </c>
      <c r="AE4" s="6">
        <v>5</v>
      </c>
      <c r="AH4" s="6" t="s">
        <v>9</v>
      </c>
      <c r="AI4" s="6">
        <v>0.5</v>
      </c>
      <c r="AJ4" s="6">
        <v>1</v>
      </c>
      <c r="AK4" s="6">
        <v>0.16666666666666666</v>
      </c>
    </row>
    <row r="5" spans="1:38" ht="35.4" thickBot="1" x14ac:dyDescent="0.35">
      <c r="B5" s="3" t="s">
        <v>2</v>
      </c>
      <c r="C5" s="4">
        <v>1</v>
      </c>
      <c r="D5" s="4">
        <v>4</v>
      </c>
      <c r="E5" s="4">
        <v>1</v>
      </c>
      <c r="F5" s="4">
        <v>1</v>
      </c>
      <c r="G5" s="4">
        <v>6</v>
      </c>
      <c r="J5" s="6" t="s">
        <v>10</v>
      </c>
      <c r="K5" s="6">
        <v>2</v>
      </c>
      <c r="L5" s="6">
        <v>5</v>
      </c>
      <c r="M5" s="6">
        <v>1</v>
      </c>
      <c r="P5" s="6" t="s">
        <v>10</v>
      </c>
      <c r="Q5" s="6">
        <v>0.33333333333333331</v>
      </c>
      <c r="R5" s="6">
        <v>0.25</v>
      </c>
      <c r="S5" s="6">
        <v>1</v>
      </c>
      <c r="V5" s="6" t="s">
        <v>10</v>
      </c>
      <c r="W5" s="6">
        <v>0.5</v>
      </c>
      <c r="X5" s="6">
        <v>0.33333333333333331</v>
      </c>
      <c r="Y5" s="6">
        <v>1</v>
      </c>
      <c r="AB5" s="6" t="s">
        <v>10</v>
      </c>
      <c r="AC5" s="6">
        <v>0.25</v>
      </c>
      <c r="AD5" s="6">
        <v>0.2</v>
      </c>
      <c r="AE5" s="6">
        <v>1</v>
      </c>
      <c r="AH5" s="6" t="s">
        <v>10</v>
      </c>
      <c r="AI5" s="6">
        <v>5</v>
      </c>
      <c r="AJ5" s="6">
        <v>6</v>
      </c>
      <c r="AK5" s="6">
        <v>1</v>
      </c>
    </row>
    <row r="6" spans="1:38" ht="35.4" thickBot="1" x14ac:dyDescent="0.35">
      <c r="B6" s="5" t="s">
        <v>6</v>
      </c>
      <c r="C6" s="4">
        <v>2</v>
      </c>
      <c r="D6" s="4">
        <v>7</v>
      </c>
      <c r="E6" s="4">
        <v>1</v>
      </c>
      <c r="F6" s="4">
        <v>1</v>
      </c>
      <c r="G6" s="4">
        <v>8</v>
      </c>
    </row>
    <row r="7" spans="1:38" ht="35.4" thickBot="1" x14ac:dyDescent="0.35">
      <c r="B7" s="5" t="s">
        <v>7</v>
      </c>
      <c r="C7" s="4">
        <v>0.2</v>
      </c>
      <c r="D7" s="4">
        <v>0.5</v>
      </c>
      <c r="E7" s="4">
        <v>0.16666666666666666</v>
      </c>
      <c r="F7" s="4">
        <v>0.125</v>
      </c>
      <c r="G7" s="4">
        <v>1</v>
      </c>
      <c r="I7" s="6">
        <v>13</v>
      </c>
      <c r="K7" s="6">
        <f>SUM(K3:K5)</f>
        <v>3.25</v>
      </c>
      <c r="L7" s="6">
        <f t="shared" ref="L7:M7" si="0">SUM(L3:L5)</f>
        <v>10</v>
      </c>
      <c r="M7" s="6">
        <f t="shared" si="0"/>
        <v>1.7</v>
      </c>
      <c r="O7" s="6">
        <v>14</v>
      </c>
      <c r="Q7" s="6">
        <f>SUM(Q3:Q5)</f>
        <v>3.3333333333333335</v>
      </c>
      <c r="R7" s="6">
        <f t="shared" ref="R7:S7" si="1">SUM(R3:R5)</f>
        <v>1.75</v>
      </c>
      <c r="S7" s="6">
        <f t="shared" si="1"/>
        <v>8</v>
      </c>
      <c r="U7" s="6">
        <v>15</v>
      </c>
      <c r="W7" s="6">
        <f>SUM(W3:W5)</f>
        <v>2.5</v>
      </c>
      <c r="X7" s="6">
        <f t="shared" ref="X7:Y7" si="2">SUM(X3:X5)</f>
        <v>2.3333333333333335</v>
      </c>
      <c r="Y7" s="6">
        <f t="shared" si="2"/>
        <v>6</v>
      </c>
      <c r="AA7" s="6">
        <v>16</v>
      </c>
      <c r="AC7" s="6">
        <f>SUM(AC3:AC5)</f>
        <v>4.25</v>
      </c>
      <c r="AD7" s="6">
        <f t="shared" ref="AD7:AE7" si="3">SUM(AD3:AD5)</f>
        <v>1.5333333333333332</v>
      </c>
      <c r="AE7" s="6">
        <f t="shared" si="3"/>
        <v>10</v>
      </c>
      <c r="AG7" s="6">
        <v>17</v>
      </c>
      <c r="AI7" s="6">
        <f>SUM(AI3:AI5)</f>
        <v>6.5</v>
      </c>
      <c r="AJ7" s="6">
        <f t="shared" ref="AJ7:AK7" si="4">SUM(AJ3:AJ5)</f>
        <v>9</v>
      </c>
      <c r="AK7" s="6">
        <f t="shared" si="4"/>
        <v>1.3666666666666667</v>
      </c>
    </row>
    <row r="8" spans="1:38" x14ac:dyDescent="0.3">
      <c r="C8" s="6">
        <f>SUM(C3:C7)</f>
        <v>4.5333333333333332</v>
      </c>
      <c r="D8" s="6">
        <f t="shared" ref="D8:G8" si="5">SUM(D3:D7)</f>
        <v>15.5</v>
      </c>
      <c r="E8" s="6">
        <f t="shared" si="5"/>
        <v>3.4166666666666665</v>
      </c>
      <c r="F8" s="6">
        <f t="shared" si="5"/>
        <v>2.7678571428571428</v>
      </c>
      <c r="G8" s="6">
        <f t="shared" si="5"/>
        <v>22</v>
      </c>
      <c r="K8" s="6">
        <f>K3/K$7</f>
        <v>0.30769230769230771</v>
      </c>
      <c r="L8" s="6">
        <f t="shared" ref="L8:M8" si="6">L3/L$7</f>
        <v>0.4</v>
      </c>
      <c r="M8" s="6">
        <f t="shared" si="6"/>
        <v>0.29411764705882354</v>
      </c>
      <c r="N8" s="6">
        <f>AVERAGE(K8:M8)</f>
        <v>0.33393665158371039</v>
      </c>
      <c r="Q8" s="6">
        <f>Q3/Q$7</f>
        <v>0.3</v>
      </c>
      <c r="R8" s="6">
        <f t="shared" ref="R8:S8" si="7">R3/R$7</f>
        <v>0.2857142857142857</v>
      </c>
      <c r="S8" s="6">
        <f t="shared" si="7"/>
        <v>0.375</v>
      </c>
      <c r="T8" s="6">
        <f>AVERAGE(Q8:S8)</f>
        <v>0.32023809523809521</v>
      </c>
      <c r="W8" s="6">
        <f>W3/W$7</f>
        <v>0.4</v>
      </c>
      <c r="X8" s="6">
        <f t="shared" ref="X8:Y8" si="8">X3/X$7</f>
        <v>0.42857142857142855</v>
      </c>
      <c r="Y8" s="6">
        <f t="shared" si="8"/>
        <v>0.33333333333333331</v>
      </c>
      <c r="Z8" s="6">
        <f>AVERAGE(W8:Y8)</f>
        <v>0.38730158730158726</v>
      </c>
      <c r="AC8" s="6">
        <f>AC3/AC$7</f>
        <v>0.23529411764705882</v>
      </c>
      <c r="AD8" s="6">
        <f t="shared" ref="AD8:AE8" si="9">AD3/AD$7</f>
        <v>0.21739130434782608</v>
      </c>
      <c r="AE8" s="6">
        <f t="shared" si="9"/>
        <v>0.4</v>
      </c>
      <c r="AF8" s="6">
        <f>AVERAGE(AC8:AE8)</f>
        <v>0.28422847399829498</v>
      </c>
      <c r="AI8" s="6">
        <f>AI3/AI$7</f>
        <v>0.15384615384615385</v>
      </c>
      <c r="AJ8" s="6">
        <f t="shared" ref="AJ8:AK8" si="10">AJ3/AJ$7</f>
        <v>0.22222222222222221</v>
      </c>
      <c r="AK8" s="6">
        <f t="shared" si="10"/>
        <v>0.14634146341463414</v>
      </c>
      <c r="AL8" s="6">
        <f>AVERAGE(AI8:AK8)</f>
        <v>0.1741366131610034</v>
      </c>
    </row>
    <row r="9" spans="1:38" x14ac:dyDescent="0.3">
      <c r="A9" s="6">
        <v>9</v>
      </c>
      <c r="C9" s="6" t="s">
        <v>5</v>
      </c>
      <c r="D9" s="6" t="s">
        <v>1</v>
      </c>
      <c r="E9" s="6" t="s">
        <v>2</v>
      </c>
      <c r="F9" s="6" t="s">
        <v>3</v>
      </c>
      <c r="G9" s="6" t="s">
        <v>4</v>
      </c>
      <c r="K9" s="6">
        <f t="shared" ref="K9:M9" si="11">K4/K$7</f>
        <v>7.6923076923076927E-2</v>
      </c>
      <c r="L9" s="6">
        <f t="shared" si="11"/>
        <v>0.1</v>
      </c>
      <c r="M9" s="6">
        <f t="shared" si="11"/>
        <v>0.11764705882352942</v>
      </c>
      <c r="N9" s="6">
        <f t="shared" ref="N9:N10" si="12">AVERAGE(K9:M9)</f>
        <v>9.8190045248868776E-2</v>
      </c>
      <c r="Q9" s="6">
        <f t="shared" ref="Q9:S9" si="13">Q4/Q$7</f>
        <v>0.6</v>
      </c>
      <c r="R9" s="6">
        <f t="shared" si="13"/>
        <v>0.5714285714285714</v>
      </c>
      <c r="S9" s="6">
        <f t="shared" si="13"/>
        <v>0.5</v>
      </c>
      <c r="T9" s="6">
        <f t="shared" ref="T9:T10" si="14">AVERAGE(Q9:S9)</f>
        <v>0.55714285714285705</v>
      </c>
      <c r="W9" s="6">
        <f t="shared" ref="W9:Y9" si="15">W4/W$7</f>
        <v>0.4</v>
      </c>
      <c r="X9" s="6">
        <f t="shared" si="15"/>
        <v>0.42857142857142855</v>
      </c>
      <c r="Y9" s="6">
        <f t="shared" si="15"/>
        <v>0.5</v>
      </c>
      <c r="Z9" s="6">
        <f t="shared" ref="Z9:Z10" si="16">AVERAGE(W9:Y9)</f>
        <v>0.44285714285714284</v>
      </c>
      <c r="AC9" s="6">
        <f t="shared" ref="AC9:AE9" si="17">AC4/AC$7</f>
        <v>0.70588235294117652</v>
      </c>
      <c r="AD9" s="6">
        <f t="shared" si="17"/>
        <v>0.65217391304347827</v>
      </c>
      <c r="AE9" s="6">
        <f t="shared" si="17"/>
        <v>0.5</v>
      </c>
      <c r="AF9" s="6">
        <f t="shared" ref="AF9:AF10" si="18">AVERAGE(AC9:AE9)</f>
        <v>0.61935208866155156</v>
      </c>
      <c r="AI9" s="6">
        <f t="shared" ref="AI9:AK9" si="19">AI4/AI$7</f>
        <v>7.6923076923076927E-2</v>
      </c>
      <c r="AJ9" s="6">
        <f t="shared" si="19"/>
        <v>0.1111111111111111</v>
      </c>
      <c r="AK9" s="6">
        <f t="shared" si="19"/>
        <v>0.12195121951219512</v>
      </c>
      <c r="AL9" s="6">
        <f t="shared" ref="AL9:AL10" si="20">AVERAGE(AI9:AK9)</f>
        <v>0.10332846918212772</v>
      </c>
    </row>
    <row r="10" spans="1:38" x14ac:dyDescent="0.3">
      <c r="A10" s="6">
        <v>10</v>
      </c>
      <c r="B10" s="6" t="s">
        <v>5</v>
      </c>
      <c r="C10" s="6">
        <f>C3/C$15</f>
        <v>0.22059958968476318</v>
      </c>
      <c r="D10" s="6">
        <f t="shared" ref="D10:G10" si="21">D3/D$15</f>
        <v>0.19354838709677419</v>
      </c>
      <c r="E10" s="6">
        <f t="shared" si="21"/>
        <v>0.29265437518290899</v>
      </c>
      <c r="F10" s="6">
        <f t="shared" si="21"/>
        <v>0.18063583815028902</v>
      </c>
      <c r="G10" s="6">
        <f t="shared" si="21"/>
        <v>0.22727272727272727</v>
      </c>
      <c r="H10" s="6">
        <f>AVERAGE(C10:G10)</f>
        <v>0.22294218347749256</v>
      </c>
      <c r="K10" s="6">
        <f t="shared" ref="K10:M10" si="22">K5/K$7</f>
        <v>0.61538461538461542</v>
      </c>
      <c r="L10" s="6">
        <f t="shared" si="22"/>
        <v>0.5</v>
      </c>
      <c r="M10" s="6">
        <f t="shared" si="22"/>
        <v>0.58823529411764708</v>
      </c>
      <c r="N10" s="6">
        <f t="shared" si="12"/>
        <v>0.56787330316742091</v>
      </c>
      <c r="Q10" s="6">
        <f t="shared" ref="Q10:S10" si="23">Q5/Q$7</f>
        <v>9.9999999999999992E-2</v>
      </c>
      <c r="R10" s="6">
        <f t="shared" si="23"/>
        <v>0.14285714285714285</v>
      </c>
      <c r="S10" s="6">
        <f t="shared" si="23"/>
        <v>0.125</v>
      </c>
      <c r="T10" s="6">
        <f t="shared" si="14"/>
        <v>0.12261904761904761</v>
      </c>
      <c r="W10" s="6">
        <f t="shared" ref="W10:Y10" si="24">W5/W$7</f>
        <v>0.2</v>
      </c>
      <c r="X10" s="6">
        <f t="shared" si="24"/>
        <v>0.14285714285714285</v>
      </c>
      <c r="Y10" s="6">
        <f t="shared" si="24"/>
        <v>0.16666666666666666</v>
      </c>
      <c r="Z10" s="6">
        <f t="shared" si="16"/>
        <v>0.16984126984126982</v>
      </c>
      <c r="AC10" s="6">
        <f t="shared" ref="AC10:AE10" si="25">AC5/AC$7</f>
        <v>5.8823529411764705E-2</v>
      </c>
      <c r="AD10" s="6">
        <f t="shared" si="25"/>
        <v>0.13043478260869568</v>
      </c>
      <c r="AE10" s="6">
        <f t="shared" si="25"/>
        <v>0.1</v>
      </c>
      <c r="AF10" s="6">
        <f t="shared" si="18"/>
        <v>9.6419437340153458E-2</v>
      </c>
      <c r="AI10" s="6">
        <f t="shared" ref="AI10:AK10" si="26">AI5/AI$7</f>
        <v>0.76923076923076927</v>
      </c>
      <c r="AJ10" s="6">
        <f t="shared" si="26"/>
        <v>0.66666666666666663</v>
      </c>
      <c r="AK10" s="6">
        <f t="shared" si="26"/>
        <v>0.73170731707317072</v>
      </c>
      <c r="AL10" s="6">
        <f t="shared" si="20"/>
        <v>0.72253491765686884</v>
      </c>
    </row>
    <row r="11" spans="1:38" x14ac:dyDescent="0.3">
      <c r="A11" s="6">
        <v>11</v>
      </c>
      <c r="B11" s="6" t="s">
        <v>1</v>
      </c>
      <c r="C11" s="6">
        <f t="shared" ref="C11:G11" si="27">C4/C$15</f>
        <v>7.3533196561587716E-2</v>
      </c>
      <c r="D11" s="6">
        <f t="shared" si="27"/>
        <v>6.4516129032258063E-2</v>
      </c>
      <c r="E11" s="6">
        <f t="shared" si="27"/>
        <v>7.3163593795727247E-2</v>
      </c>
      <c r="F11" s="6">
        <f t="shared" si="27"/>
        <v>5.1610239471511152E-2</v>
      </c>
      <c r="G11" s="6">
        <f t="shared" si="27"/>
        <v>9.0909090909090912E-2</v>
      </c>
      <c r="H11" s="6">
        <f t="shared" ref="H11:H14" si="28">AVERAGE(C11:G11)</f>
        <v>7.0746449954035034E-2</v>
      </c>
    </row>
    <row r="12" spans="1:38" x14ac:dyDescent="0.3">
      <c r="B12" s="6" t="s">
        <v>2</v>
      </c>
      <c r="C12" s="6">
        <f t="shared" ref="C12:G12" si="29">C5/C$15</f>
        <v>0.22059958968476318</v>
      </c>
      <c r="D12" s="6">
        <f t="shared" si="29"/>
        <v>0.25806451612903225</v>
      </c>
      <c r="E12" s="6">
        <f t="shared" si="29"/>
        <v>0.29265437518290899</v>
      </c>
      <c r="F12" s="6">
        <f t="shared" si="29"/>
        <v>0.36127167630057805</v>
      </c>
      <c r="G12" s="6">
        <f t="shared" si="29"/>
        <v>0.27272727272727271</v>
      </c>
      <c r="H12" s="6">
        <f t="shared" si="28"/>
        <v>0.28106348600491105</v>
      </c>
      <c r="L12" s="6" t="s">
        <v>13</v>
      </c>
      <c r="M12" s="6" t="s">
        <v>14</v>
      </c>
      <c r="R12" s="6" t="s">
        <v>13</v>
      </c>
      <c r="S12" s="6" t="s">
        <v>14</v>
      </c>
      <c r="X12" s="6" t="s">
        <v>13</v>
      </c>
      <c r="Y12" s="6" t="s">
        <v>14</v>
      </c>
      <c r="AD12" s="6" t="s">
        <v>13</v>
      </c>
      <c r="AE12" s="6" t="s">
        <v>14</v>
      </c>
      <c r="AJ12" s="6" t="s">
        <v>13</v>
      </c>
      <c r="AK12" s="6" t="s">
        <v>14</v>
      </c>
    </row>
    <row r="13" spans="1:38" x14ac:dyDescent="0.3">
      <c r="B13" s="6" t="s">
        <v>3</v>
      </c>
      <c r="C13" s="6">
        <f t="shared" ref="C13:G13" si="30">C6/C$15</f>
        <v>0.44119917936952635</v>
      </c>
      <c r="D13" s="6">
        <f t="shared" si="30"/>
        <v>0.45161290322580644</v>
      </c>
      <c r="E13" s="6">
        <f t="shared" si="30"/>
        <v>0.29265437518290899</v>
      </c>
      <c r="F13" s="6">
        <f t="shared" si="30"/>
        <v>0.36127167630057805</v>
      </c>
      <c r="G13" s="6">
        <f t="shared" si="30"/>
        <v>0.36363636363636365</v>
      </c>
      <c r="H13" s="6">
        <f t="shared" si="28"/>
        <v>0.38207489954303664</v>
      </c>
      <c r="K13" s="6" t="s">
        <v>8</v>
      </c>
      <c r="L13" s="6">
        <f>N8</f>
        <v>0.33393665158371039</v>
      </c>
      <c r="M13" s="7">
        <f>L13</f>
        <v>0.33393665158371039</v>
      </c>
      <c r="Q13" s="6" t="s">
        <v>8</v>
      </c>
      <c r="R13" s="6">
        <f>T8</f>
        <v>0.32023809523809521</v>
      </c>
      <c r="S13" s="7">
        <f>R13</f>
        <v>0.32023809523809521</v>
      </c>
      <c r="W13" s="6" t="s">
        <v>8</v>
      </c>
      <c r="X13" s="6">
        <f>Z8</f>
        <v>0.38730158730158726</v>
      </c>
      <c r="Y13" s="7">
        <f>X13</f>
        <v>0.38730158730158726</v>
      </c>
      <c r="AC13" s="6" t="s">
        <v>8</v>
      </c>
      <c r="AD13" s="6">
        <f>AF8</f>
        <v>0.28422847399829498</v>
      </c>
      <c r="AE13" s="7">
        <f>AD13</f>
        <v>0.28422847399829498</v>
      </c>
      <c r="AI13" s="6" t="s">
        <v>8</v>
      </c>
      <c r="AJ13" s="6">
        <f>AL8</f>
        <v>0.1741366131610034</v>
      </c>
      <c r="AK13" s="7">
        <f>AJ13</f>
        <v>0.1741366131610034</v>
      </c>
    </row>
    <row r="14" spans="1:38" x14ac:dyDescent="0.3">
      <c r="B14" s="6" t="s">
        <v>4</v>
      </c>
      <c r="C14" s="6">
        <f t="shared" ref="C14:G14" si="31">C7/C$15</f>
        <v>4.4119917936952635E-2</v>
      </c>
      <c r="D14" s="6">
        <f t="shared" si="31"/>
        <v>3.2258064516129031E-2</v>
      </c>
      <c r="E14" s="6">
        <f t="shared" si="31"/>
        <v>4.87757291971515E-2</v>
      </c>
      <c r="F14" s="6">
        <f t="shared" si="31"/>
        <v>4.5158959537572256E-2</v>
      </c>
      <c r="G14" s="6">
        <f t="shared" si="31"/>
        <v>4.5454545454545456E-2</v>
      </c>
      <c r="H14" s="6">
        <f t="shared" si="28"/>
        <v>4.3153443328470174E-2</v>
      </c>
      <c r="K14" s="6" t="s">
        <v>9</v>
      </c>
      <c r="L14" s="6">
        <f t="shared" ref="L14:L15" si="32">N9</f>
        <v>9.8190045248868776E-2</v>
      </c>
      <c r="M14" s="7">
        <f t="shared" ref="M14:M15" si="33">L14</f>
        <v>9.8190045248868776E-2</v>
      </c>
      <c r="Q14" s="6" t="s">
        <v>9</v>
      </c>
      <c r="R14" s="6">
        <f>T9</f>
        <v>0.55714285714285705</v>
      </c>
      <c r="S14" s="7">
        <f>R14</f>
        <v>0.55714285714285705</v>
      </c>
      <c r="W14" s="6" t="s">
        <v>9</v>
      </c>
      <c r="X14" s="6">
        <f t="shared" ref="X14:X15" si="34">Z9</f>
        <v>0.44285714285714284</v>
      </c>
      <c r="Y14" s="7">
        <f t="shared" ref="Y14:Y15" si="35">X14</f>
        <v>0.44285714285714284</v>
      </c>
      <c r="AC14" s="6" t="s">
        <v>9</v>
      </c>
      <c r="AD14" s="6">
        <f t="shared" ref="AD14:AD15" si="36">AF9</f>
        <v>0.61935208866155156</v>
      </c>
      <c r="AE14" s="7">
        <f t="shared" ref="AE14:AE15" si="37">AD14</f>
        <v>0.61935208866155156</v>
      </c>
      <c r="AI14" s="6" t="s">
        <v>9</v>
      </c>
      <c r="AJ14" s="6">
        <f t="shared" ref="AJ14:AJ15" si="38">AL9</f>
        <v>0.10332846918212772</v>
      </c>
      <c r="AK14" s="7">
        <f t="shared" ref="AK14:AK15" si="39">AJ14</f>
        <v>0.10332846918212772</v>
      </c>
    </row>
    <row r="15" spans="1:38" x14ac:dyDescent="0.3">
      <c r="B15" s="6" t="s">
        <v>12</v>
      </c>
      <c r="C15" s="6">
        <v>4.5331000000000001</v>
      </c>
      <c r="D15" s="6">
        <v>15.5</v>
      </c>
      <c r="E15" s="6">
        <v>3.4169999999999998</v>
      </c>
      <c r="F15" s="6">
        <v>2.7679999999999998</v>
      </c>
      <c r="G15" s="6">
        <v>22</v>
      </c>
      <c r="K15" s="6" t="s">
        <v>10</v>
      </c>
      <c r="L15" s="6">
        <f t="shared" si="32"/>
        <v>0.56787330316742091</v>
      </c>
      <c r="M15" s="7">
        <f t="shared" si="33"/>
        <v>0.56787330316742091</v>
      </c>
      <c r="Q15" s="6" t="s">
        <v>10</v>
      </c>
      <c r="R15" s="6">
        <f>T10</f>
        <v>0.12261904761904761</v>
      </c>
      <c r="S15" s="7">
        <f>R15</f>
        <v>0.12261904761904761</v>
      </c>
      <c r="W15" s="6" t="s">
        <v>10</v>
      </c>
      <c r="X15" s="6">
        <f t="shared" si="34"/>
        <v>0.16984126984126982</v>
      </c>
      <c r="Y15" s="7">
        <f t="shared" si="35"/>
        <v>0.16984126984126982</v>
      </c>
      <c r="AC15" s="6" t="s">
        <v>10</v>
      </c>
      <c r="AD15" s="6">
        <f t="shared" si="36"/>
        <v>9.6419437340153458E-2</v>
      </c>
      <c r="AE15" s="7">
        <f t="shared" si="37"/>
        <v>9.6419437340153458E-2</v>
      </c>
      <c r="AI15" s="6" t="s">
        <v>10</v>
      </c>
      <c r="AJ15" s="6">
        <f t="shared" si="38"/>
        <v>0.72253491765686884</v>
      </c>
      <c r="AK15" s="7">
        <f t="shared" si="39"/>
        <v>0.72253491765686884</v>
      </c>
    </row>
    <row r="17" spans="1:20" x14ac:dyDescent="0.3">
      <c r="A17" s="6">
        <v>12</v>
      </c>
      <c r="C17" s="6" t="s">
        <v>13</v>
      </c>
      <c r="D17" s="6" t="s">
        <v>14</v>
      </c>
    </row>
    <row r="18" spans="1:20" x14ac:dyDescent="0.3">
      <c r="B18" s="6" t="s">
        <v>5</v>
      </c>
      <c r="C18" s="6">
        <f>AVERAGE(G10:K10)</f>
        <v>0.35519984204494509</v>
      </c>
      <c r="D18" s="7">
        <f>AVERAGE(H10:L10)</f>
        <v>0.44610893295403597</v>
      </c>
      <c r="J18" s="6" t="s">
        <v>5</v>
      </c>
      <c r="K18" s="6" t="s">
        <v>1</v>
      </c>
      <c r="L18" s="6" t="s">
        <v>2</v>
      </c>
      <c r="M18" s="6" t="s">
        <v>3</v>
      </c>
      <c r="N18" s="6" t="s">
        <v>7</v>
      </c>
    </row>
    <row r="19" spans="1:20" x14ac:dyDescent="0.3">
      <c r="B19" s="6" t="s">
        <v>1</v>
      </c>
      <c r="C19" s="6">
        <f>AVERAGE(G11:K11)</f>
        <v>8.0827770431562973E-2</v>
      </c>
      <c r="D19" s="7">
        <f>AVERAGE(H11:L11)</f>
        <v>7.0746449954035034E-2</v>
      </c>
      <c r="I19" s="6" t="s">
        <v>8</v>
      </c>
      <c r="J19" s="6">
        <f>L13</f>
        <v>0.33393665158371039</v>
      </c>
      <c r="K19" s="6">
        <f>R13</f>
        <v>0.32023809523809521</v>
      </c>
      <c r="L19" s="6">
        <f>X13</f>
        <v>0.38730158730158726</v>
      </c>
      <c r="M19" s="6">
        <f>AD13</f>
        <v>0.28422847399829498</v>
      </c>
      <c r="N19" s="6">
        <f>AJ13</f>
        <v>0.1741366131610034</v>
      </c>
    </row>
    <row r="20" spans="1:20" x14ac:dyDescent="0.3">
      <c r="B20" s="6" t="s">
        <v>2</v>
      </c>
      <c r="C20" s="6">
        <f>AVERAGE(G12:K12)</f>
        <v>0.27689537936609188</v>
      </c>
      <c r="D20" s="7">
        <f>AVERAGE(H12:L12)</f>
        <v>0.28106348600491105</v>
      </c>
      <c r="I20" s="6" t="s">
        <v>9</v>
      </c>
      <c r="J20" s="6">
        <f t="shared" ref="J20:J21" si="40">L14</f>
        <v>9.8190045248868776E-2</v>
      </c>
      <c r="K20" s="6">
        <f t="shared" ref="K20:K21" si="41">R14</f>
        <v>0.55714285714285705</v>
      </c>
      <c r="L20" s="6">
        <f t="shared" ref="L20:L21" si="42">X14</f>
        <v>0.44285714285714284</v>
      </c>
      <c r="M20" s="6">
        <f t="shared" ref="M20:M21" si="43">AD14</f>
        <v>0.61935208866155156</v>
      </c>
      <c r="N20" s="6">
        <f t="shared" ref="N20:N21" si="44">AJ14</f>
        <v>0.10332846918212772</v>
      </c>
      <c r="Q20" s="8"/>
      <c r="R20" s="8" t="s">
        <v>13</v>
      </c>
      <c r="S20" s="8" t="s">
        <v>14</v>
      </c>
      <c r="T20" s="8"/>
    </row>
    <row r="21" spans="1:20" x14ac:dyDescent="0.3">
      <c r="B21" s="6" t="s">
        <v>3</v>
      </c>
      <c r="C21" s="6">
        <f>AVERAGE(G13:K13)</f>
        <v>0.37285563158970014</v>
      </c>
      <c r="D21" s="7">
        <f>AVERAGE(H13:L13)</f>
        <v>0.35800577556337354</v>
      </c>
      <c r="I21" s="6" t="s">
        <v>10</v>
      </c>
      <c r="J21" s="6">
        <f t="shared" si="40"/>
        <v>0.56787330316742091</v>
      </c>
      <c r="K21" s="6">
        <f t="shared" si="41"/>
        <v>0.12261904761904761</v>
      </c>
      <c r="L21" s="6">
        <f t="shared" si="42"/>
        <v>0.16984126984126982</v>
      </c>
      <c r="M21" s="6">
        <f t="shared" si="43"/>
        <v>9.6419437340153458E-2</v>
      </c>
      <c r="N21" s="6">
        <f t="shared" si="44"/>
        <v>0.72253491765686884</v>
      </c>
      <c r="Q21" s="8" t="s">
        <v>8</v>
      </c>
      <c r="R21" s="8">
        <f>O22</f>
        <v>0.3654315318071123</v>
      </c>
      <c r="S21" s="9">
        <f>R21</f>
        <v>0.3654315318071123</v>
      </c>
      <c r="T21" s="8"/>
    </row>
    <row r="22" spans="1:20" x14ac:dyDescent="0.3">
      <c r="B22" s="6" t="s">
        <v>4</v>
      </c>
      <c r="C22" s="6">
        <f>AVERAGE(G14:K14)</f>
        <v>4.4303994391507812E-2</v>
      </c>
      <c r="D22" s="7">
        <f>AVERAGE(H14:L14)</f>
        <v>7.0671744288669472E-2</v>
      </c>
      <c r="J22" s="6">
        <f>J19*C$26</f>
        <v>0.11861424589555179</v>
      </c>
      <c r="K22" s="6">
        <f t="shared" ref="K22:N22" si="45">K19*D$26</f>
        <v>2.5884131245345759E-2</v>
      </c>
      <c r="L22" s="6">
        <f t="shared" si="45"/>
        <v>0.10724201994496256</v>
      </c>
      <c r="M22" s="6">
        <f t="shared" si="45"/>
        <v>0.10597618718841094</v>
      </c>
      <c r="N22" s="6">
        <f t="shared" si="45"/>
        <v>7.7149475328412596E-3</v>
      </c>
      <c r="O22" s="6">
        <f>SUM(J22:N22)</f>
        <v>0.3654315318071123</v>
      </c>
      <c r="Q22" s="8" t="s">
        <v>9</v>
      </c>
      <c r="R22" s="8">
        <f t="shared" ref="R22:R23" si="46">O23</f>
        <v>0.43804157820735512</v>
      </c>
      <c r="S22" s="9">
        <f t="shared" ref="S22:S23" si="47">R22</f>
        <v>0.43804157820735512</v>
      </c>
      <c r="T22" s="8"/>
    </row>
    <row r="23" spans="1:20" x14ac:dyDescent="0.3">
      <c r="J23" s="6">
        <f>J20*C$26</f>
        <v>3.4877088562784202E-2</v>
      </c>
      <c r="K23" s="6">
        <f t="shared" ref="K23:K24" si="48">K20*D$26</f>
        <v>4.5032614954727934E-2</v>
      </c>
      <c r="L23" s="6">
        <f t="shared" ref="L23:L24" si="49">L20*E$26</f>
        <v>0.12262509657641212</v>
      </c>
      <c r="M23" s="6">
        <f t="shared" ref="M23:M24" si="50">M20*F$26</f>
        <v>0.23092891419430275</v>
      </c>
      <c r="N23" s="6">
        <f t="shared" ref="N23:N24" si="51">N20*G$26</f>
        <v>4.5778639191280746E-3</v>
      </c>
      <c r="O23" s="6">
        <f t="shared" ref="O23:O24" si="52">SUM(J23:N23)</f>
        <v>0.43804157820735512</v>
      </c>
      <c r="Q23" s="8" t="s">
        <v>10</v>
      </c>
      <c r="R23" s="8">
        <f t="shared" si="46"/>
        <v>0.32660950780934045</v>
      </c>
      <c r="S23" s="9">
        <f t="shared" si="47"/>
        <v>0.32660950780934045</v>
      </c>
      <c r="T23" s="8"/>
    </row>
    <row r="24" spans="1:20" x14ac:dyDescent="0.3">
      <c r="J24" s="6">
        <f>J21*C$26</f>
        <v>0.20170850758660913</v>
      </c>
      <c r="K24" s="6">
        <f t="shared" si="48"/>
        <v>9.9110242314892696E-3</v>
      </c>
      <c r="L24" s="6">
        <f t="shared" si="49"/>
        <v>4.7028262844717186E-2</v>
      </c>
      <c r="M24" s="6">
        <f t="shared" si="50"/>
        <v>3.5950530206986436E-2</v>
      </c>
      <c r="N24" s="6">
        <f t="shared" si="51"/>
        <v>3.2011182939538474E-2</v>
      </c>
      <c r="O24" s="6">
        <f t="shared" si="52"/>
        <v>0.32660950780934045</v>
      </c>
    </row>
    <row r="26" spans="1:20" x14ac:dyDescent="0.3">
      <c r="C26" s="6">
        <v>0.35519984204494509</v>
      </c>
      <c r="D26" s="6">
        <v>8.0827770431562973E-2</v>
      </c>
      <c r="E26" s="6">
        <v>0.27689537936609188</v>
      </c>
      <c r="F26" s="6">
        <v>0.37285563158970014</v>
      </c>
      <c r="G26" s="6">
        <v>4.4303994391507812E-2</v>
      </c>
    </row>
    <row r="28" spans="1:20" x14ac:dyDescent="0.3">
      <c r="C28" s="6">
        <f>C26*C36</f>
        <v>1.6102392839370843</v>
      </c>
      <c r="D28" s="6">
        <f t="shared" ref="D28:G28" si="53">D26*D36</f>
        <v>1.252830441689226</v>
      </c>
      <c r="E28" s="6">
        <f t="shared" si="53"/>
        <v>0.94605921283414718</v>
      </c>
      <c r="F28" s="6">
        <f t="shared" si="53"/>
        <v>1.0320111231500628</v>
      </c>
      <c r="G28" s="6">
        <f t="shared" si="53"/>
        <v>0.97468787661317191</v>
      </c>
      <c r="H28" s="6">
        <f>SUM(C28:G28)</f>
        <v>5.8158279382236922</v>
      </c>
      <c r="I28" s="6">
        <f>(H28-5)/(5-1)</f>
        <v>0.20395698455592304</v>
      </c>
      <c r="J28" s="8">
        <f>I28/1.12</f>
        <v>0.18210445049635984</v>
      </c>
    </row>
    <row r="29" spans="1:20" ht="15" thickBot="1" x14ac:dyDescent="0.35"/>
    <row r="30" spans="1:20" ht="35.4" thickBot="1" x14ac:dyDescent="0.35">
      <c r="A30" s="6">
        <v>3</v>
      </c>
      <c r="B30" s="1"/>
      <c r="C30" s="2" t="s">
        <v>0</v>
      </c>
      <c r="D30" s="2" t="s">
        <v>1</v>
      </c>
      <c r="E30" s="2" t="s">
        <v>2</v>
      </c>
      <c r="F30" s="2" t="s">
        <v>3</v>
      </c>
      <c r="G30" s="2" t="s">
        <v>4</v>
      </c>
    </row>
    <row r="31" spans="1:20" ht="18.600000000000001" thickBot="1" x14ac:dyDescent="0.35">
      <c r="B31" s="3" t="s">
        <v>5</v>
      </c>
      <c r="C31" s="4">
        <v>1</v>
      </c>
      <c r="D31" s="4">
        <v>3</v>
      </c>
      <c r="E31" s="4">
        <v>1</v>
      </c>
      <c r="F31" s="4">
        <v>0.5</v>
      </c>
      <c r="G31" s="4">
        <v>5</v>
      </c>
    </row>
    <row r="32" spans="1:20" ht="35.4" thickBot="1" x14ac:dyDescent="0.35">
      <c r="B32" s="3" t="s">
        <v>1</v>
      </c>
      <c r="C32" s="4">
        <v>0.33333333333333331</v>
      </c>
      <c r="D32" s="4">
        <v>1</v>
      </c>
      <c r="E32" s="4">
        <v>0.25</v>
      </c>
      <c r="F32" s="4">
        <v>0.14285714285714285</v>
      </c>
      <c r="G32" s="4">
        <v>2</v>
      </c>
    </row>
    <row r="33" spans="2:7" ht="35.4" thickBot="1" x14ac:dyDescent="0.35">
      <c r="B33" s="3" t="s">
        <v>2</v>
      </c>
      <c r="C33" s="4">
        <v>1</v>
      </c>
      <c r="D33" s="4">
        <v>4</v>
      </c>
      <c r="E33" s="4">
        <v>1</v>
      </c>
      <c r="F33" s="4">
        <v>1</v>
      </c>
      <c r="G33" s="4">
        <v>6</v>
      </c>
    </row>
    <row r="34" spans="2:7" ht="35.4" thickBot="1" x14ac:dyDescent="0.35">
      <c r="B34" s="5" t="s">
        <v>6</v>
      </c>
      <c r="C34" s="4">
        <v>2</v>
      </c>
      <c r="D34" s="4">
        <v>7</v>
      </c>
      <c r="E34" s="4">
        <v>1</v>
      </c>
      <c r="F34" s="4">
        <v>1</v>
      </c>
      <c r="G34" s="4">
        <v>8</v>
      </c>
    </row>
    <row r="35" spans="2:7" ht="35.4" thickBot="1" x14ac:dyDescent="0.35">
      <c r="B35" s="5" t="s">
        <v>7</v>
      </c>
      <c r="C35" s="4">
        <v>0.2</v>
      </c>
      <c r="D35" s="4">
        <v>0.5</v>
      </c>
      <c r="E35" s="4">
        <v>0.16666666666666666</v>
      </c>
      <c r="F35" s="4">
        <v>0.125</v>
      </c>
      <c r="G35" s="4">
        <v>1</v>
      </c>
    </row>
    <row r="36" spans="2:7" x14ac:dyDescent="0.3">
      <c r="C36" s="6">
        <f>SUM(C31:C35)</f>
        <v>4.5333333333333332</v>
      </c>
      <c r="D36" s="6">
        <f t="shared" ref="D36" si="54">SUM(D31:D35)</f>
        <v>15.5</v>
      </c>
      <c r="E36" s="6">
        <f t="shared" ref="E36" si="55">SUM(E31:E35)</f>
        <v>3.4166666666666665</v>
      </c>
      <c r="F36" s="6">
        <f t="shared" ref="F36" si="56">SUM(F31:F35)</f>
        <v>2.7678571428571428</v>
      </c>
      <c r="G36" s="6">
        <f t="shared" ref="G36" si="57">SUM(G31:G35)</f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Акукамбеков</dc:creator>
  <cp:lastModifiedBy>Владислав Акукамбеков</cp:lastModifiedBy>
  <dcterms:created xsi:type="dcterms:W3CDTF">2025-12-14T21:43:46Z</dcterms:created>
  <dcterms:modified xsi:type="dcterms:W3CDTF">2025-12-14T22:27:06Z</dcterms:modified>
</cp:coreProperties>
</file>
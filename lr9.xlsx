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adisl4W\Desktop\"/>
    </mc:Choice>
  </mc:AlternateContent>
  <xr:revisionPtr revIDLastSave="0" documentId="13_ncr:1_{7E8D032E-1E72-42A8-A780-5B8362FDEA9B}" xr6:coauthVersionLast="47" xr6:coauthVersionMax="47" xr10:uidLastSave="{00000000-0000-0000-0000-000000000000}"/>
  <bookViews>
    <workbookView xWindow="-108" yWindow="-108" windowWidth="23256" windowHeight="12456" activeTab="4" xr2:uid="{27E48E36-F7E9-4397-8023-03040F3D6A49}"/>
  </bookViews>
  <sheets>
    <sheet name="Answer Report 1" sheetId="2" r:id="rId1"/>
    <sheet name="Sensitivity Report 1" sheetId="3" r:id="rId2"/>
    <sheet name="Limits Report 1" sheetId="4" r:id="rId3"/>
    <sheet name="Answer Report 2" sheetId="5" r:id="rId4"/>
    <sheet name="Sensitivity Report 2" sheetId="6" r:id="rId5"/>
    <sheet name="Limits Report 2" sheetId="7" r:id="rId6"/>
    <sheet name="Sheet1" sheetId="1" r:id="rId7"/>
  </sheets>
  <definedNames>
    <definedName name="solver_adj" localSheetId="6" hidden="1">Sheet1!$I$7:$J$7</definedName>
    <definedName name="solver_cvg" localSheetId="6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6" hidden="1">2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Sheet1!$K$2:$K$4</definedName>
    <definedName name="solver_mip" localSheetId="6" hidden="1">2147483647</definedName>
    <definedName name="solver_mni" localSheetId="6" hidden="1">30</definedName>
    <definedName name="solver_mrt" localSheetId="6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1</definedName>
    <definedName name="solver_nwt" localSheetId="6" hidden="1">1</definedName>
    <definedName name="solver_opt" localSheetId="6" hidden="1">Sheet1!$K$11</definedName>
    <definedName name="solver_pre" localSheetId="6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6" hidden="1">2</definedName>
    <definedName name="solver_rel1" localSheetId="6" hidden="1">1</definedName>
    <definedName name="solver_rhs1" localSheetId="6" hidden="1">Sheet1!$M$2:$M$4</definedName>
    <definedName name="solver_rlx" localSheetId="6" hidden="1">2</definedName>
    <definedName name="solver_rsd" localSheetId="6" hidden="1">0</definedName>
    <definedName name="solver_scl" localSheetId="6" hidden="1">2</definedName>
    <definedName name="solver_sho" localSheetId="2" hidden="1">2</definedName>
    <definedName name="solver_sho" localSheetId="5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1</definedName>
    <definedName name="solver_val" localSheetId="6" hidden="1">0</definedName>
    <definedName name="solver_ver" localSheetId="6" hidden="1">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1" l="1"/>
  <c r="D11" i="1"/>
  <c r="K3" i="1"/>
  <c r="K4" i="1"/>
  <c r="K2" i="1"/>
  <c r="D3" i="1"/>
  <c r="D2" i="1"/>
  <c r="D4" i="1"/>
</calcChain>
</file>

<file path=xl/sharedStrings.xml><?xml version="1.0" encoding="utf-8"?>
<sst xmlns="http://schemas.openxmlformats.org/spreadsheetml/2006/main" count="238" uniqueCount="91">
  <si>
    <t>x1</t>
  </si>
  <si>
    <t>x2</t>
  </si>
  <si>
    <t>&lt;=</t>
  </si>
  <si>
    <t>РЕСУРСЫ</t>
  </si>
  <si>
    <t>СТОЛ</t>
  </si>
  <si>
    <t>ШКАФ</t>
  </si>
  <si>
    <t>левая часть неравенства</t>
  </si>
  <si>
    <t>знак</t>
  </si>
  <si>
    <t>ОБЩЕЕ КОЛ-ВО РЕС</t>
  </si>
  <si>
    <t>Древесина 1 вида</t>
  </si>
  <si>
    <t>Древесина 2 вида</t>
  </si>
  <si>
    <t>трудоемкость</t>
  </si>
  <si>
    <t>Знач иском перем</t>
  </si>
  <si>
    <t>Коэф в ур ц ф</t>
  </si>
  <si>
    <t>ЦЕЛЕВАЯ ФУНКЦИЯ</t>
  </si>
  <si>
    <t>Microsoft Excel 16.0 Answer Report</t>
  </si>
  <si>
    <t>Worksheet: [lr9.xlsx]Sheet1</t>
  </si>
  <si>
    <t>Report Created: 14.12.2025 21:59:39</t>
  </si>
  <si>
    <t>Result: Solver found a solution.  All Constraints and optimality conditions are satisfied.</t>
  </si>
  <si>
    <t>Solver Engine</t>
  </si>
  <si>
    <t>Engine: GRG Nonlinear</t>
  </si>
  <si>
    <t>Solution Time: 0,047 Seconds.</t>
  </si>
  <si>
    <t>Iterations: 3 Subproblems: 0</t>
  </si>
  <si>
    <t>Solver Options</t>
  </si>
  <si>
    <t>Max Time Unlimited,  Iterations Unlimited, Precision """""""""""""""""""""""""""""""""""""""""""""""""""""""""""""""""""""""""""""""""""""""""""""""""""""""""""""""""""""""""""""""0,000001"""""""""""""""""""""""""""""""""""""""""""""""""""""""""""""""""""""""""""""""""""""""""""""""""""""""""""""""""""""""""""""""</t>
  </si>
  <si>
    <t xml:space="preserve"> Convergence """""""""""""""""""""""""""""""""""""""""""""""""""""""""""""""""""""""""""""""""""""""""""""""""""""""""""""""""""""""""""""""0,0001""""""""""""""""""""""""""""""""""""""""""""""""""""""""""""""""""""""""""""""""""""""""""""""""""""""""""""""""""""""""""""""", Population Size 100, Random Seed 0, Derivatives Central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</si>
  <si>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</si>
  <si>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</si>
  <si>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</si>
  <si>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</si>
  <si>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</si>
  <si>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</si>
  <si>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</si>
  <si>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</si>
  <si>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</si>
  <si>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</si>
  <si>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</si>
  <si>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</si>
  <si>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</si>
  <si>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$D$11</t>
  </si>
  <si>
    <t>ЦЕЛЕВАЯ ФУНКЦИЯ левая часть неравенства</t>
  </si>
  <si>
    <t>$B$7</t>
  </si>
  <si>
    <t>Знач иском перем x1</t>
  </si>
  <si>
    <t>Contin</t>
  </si>
  <si>
    <t>$C$7</t>
  </si>
  <si>
    <t>Знач иском перем x2</t>
  </si>
  <si>
    <t>$D$2</t>
  </si>
  <si>
    <t>Древесина 1 вида левая часть неравенства</t>
  </si>
  <si>
    <t>$D$2&lt;=$F$2</t>
  </si>
  <si>
    <t>Not Binding</t>
  </si>
  <si>
    <t>$D$3</t>
  </si>
  <si>
    <t>Древесина 2 вида левая часть неравенства</t>
  </si>
  <si>
    <t>$D$3&lt;=$F$3</t>
  </si>
  <si>
    <t>Binding</t>
  </si>
  <si>
    <t>$D$4</t>
  </si>
  <si>
    <t>трудоемкость левая часть неравенства</t>
  </si>
  <si>
    <t>$D$4&lt;=$F$4</t>
  </si>
  <si>
    <t>Microsoft Excel 16.0 Sensitivity Report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</si>
  <si>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</si>
  <si>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</si>
  <si>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</si>
  <si>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</si>
  <si>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</si>
  <si>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</si>
  <si>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</si>
  <si>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</si>
  <si>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</si>
  <si>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</si>
  <si>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</si>
  <si>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</si>
  <si>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</si>
  <si>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Тип оборуд</t>
  </si>
  <si>
    <t>A</t>
  </si>
  <si>
    <t>B</t>
  </si>
  <si>
    <t>Фрезерное</t>
  </si>
  <si>
    <t>Токарное</t>
  </si>
  <si>
    <t>Шлифовальное</t>
  </si>
  <si>
    <t>Report Created: 14.12.2025 22:06:39</t>
  </si>
  <si>
    <t>$K$11</t>
  </si>
  <si>
    <t>$I$7</t>
  </si>
  <si>
    <t>$J$7</t>
  </si>
  <si>
    <t>$K$2</t>
  </si>
  <si>
    <t>Фрезерное левая часть неравенства</t>
  </si>
  <si>
    <t>$K$2&lt;=$M$2</t>
  </si>
  <si>
    <t>$K$3</t>
  </si>
  <si>
    <t>Токарное левая часть неравенства</t>
  </si>
  <si>
    <t>$K$3&lt;=$M$3</t>
  </si>
  <si>
    <t>$K$4</t>
  </si>
  <si>
    <t>Шлифовальное левая часть неравенства</t>
  </si>
  <si>
    <t>$K$4&lt;=$M$4</t>
  </si>
  <si>
    <t>Report Created: 14.12.2025 22:06:40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</si>
</sst>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6" xfId="0" applyFill="1" applyBorder="1" applyAlignment="1">
      <alignment horizontal="center"/>
    </xf>
    <xf numFmtId="0" fontId="1" fillId="0" borderId="0" xfId="0" applyFont="1"/>
    <xf numFmtId="0" fontId="0" fillId="0" borderId="11" xfId="0" applyFill="1" applyBorder="1" applyAlignment="1"/>
    <xf numFmtId="0" fontId="2" fillId="0" borderId="10" xfId="0" applyFont="1" applyFill="1" applyBorder="1" applyAlignment="1">
      <alignment horizontal="center"/>
    </xf>
    <xf numFmtId="0" fontId="0" fillId="0" borderId="12" xfId="0" applyFill="1" applyBorder="1" applyAlignment="1"/>
    <xf numFmtId="0" fontId="0" fillId="0" borderId="11" xfId="0" applyNumberFormat="1" applyFill="1" applyBorder="1" applyAlignment="1"/>
    <xf numFmtId="0" fontId="0" fillId="0" borderId="12" xfId="0" applyNumberFormat="1" applyFill="1" applyBorder="1" applyAlignment="1"/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3" fillId="0" borderId="1" xfId="1" applyBorder="1" applyAlignment="1">
      <alignment horizontal="center"/>
    </xf>
    <xf numFmtId="0" fontId="3" fillId="0" borderId="2" xfId="1" applyBorder="1" applyAlignment="1">
      <alignment horizontal="center"/>
    </xf>
    <xf numFmtId="0" fontId="3" fillId="0" borderId="0" xfId="1" applyAlignment="1">
      <alignment horizontal="center"/>
    </xf>
    <xf numFmtId="0" fontId="3" fillId="0" borderId="3" xfId="1" applyBorder="1" applyAlignment="1">
      <alignment horizontal="center"/>
    </xf>
    <xf numFmtId="0" fontId="3" fillId="0" borderId="4" xfId="1" applyBorder="1" applyAlignment="1">
      <alignment horizontal="center"/>
    </xf>
    <xf numFmtId="0" fontId="3" fillId="0" borderId="0" xfId="1" applyFill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7" xfId="1" applyBorder="1" applyAlignment="1">
      <alignment horizontal="center"/>
    </xf>
    <xf numFmtId="0" fontId="3" fillId="3" borderId="0" xfId="1" applyFill="1" applyAlignment="1">
      <alignment horizontal="center"/>
    </xf>
    <xf numFmtId="0" fontId="3" fillId="0" borderId="0" xfId="1" applyBorder="1" applyAlignment="1">
      <alignment horizontal="center"/>
    </xf>
    <xf numFmtId="0" fontId="3" fillId="0" borderId="6" xfId="1" applyFill="1" applyBorder="1" applyAlignment="1">
      <alignment horizontal="center"/>
    </xf>
  </cellXfs>
  <cellStyles count="2">
    <cellStyle name="Normal" xfId="0" builtinId="0"/>
    <cellStyle name="Normal 2" xfId="1" xr:uid="{16A2FA9F-00F2-4556-B0D3-64DA2FC5B2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1C61-E86F-46C4-9411-DF279AC55171}">
  <dimension ref="A1:G29"/>
  <sheetViews>
    <sheetView showGridLines="0" topLeftCell="A3" workbookViewId="0"/>
  </sheetViews>
  <sheetFormatPr defaultRowHeight="14.4" x14ac:dyDescent="0.3"/>
  <cols>
    <col min="1" max="1" width="2.33203125" customWidth="1"/>
    <col min="2" max="2" width="5.21875" bestFit="1" customWidth="1"/>
    <col min="3" max="3" width="40.44140625" bestFit="1" customWidth="1"/>
    <col min="4" max="4" width="12.6640625" bestFit="1" customWidth="1"/>
    <col min="5" max="5" width="11.109375" bestFit="1" customWidth="1"/>
    <col min="6" max="6" width="10.44140625" bestFit="1" customWidth="1"/>
    <col min="7" max="7" width="5.33203125" bestFit="1" customWidth="1"/>
  </cols>
  <sheetData>
    <row r="1" spans="1:5" x14ac:dyDescent="0.3">
      <c r="A1" s="13" t="s">
        <v>15</v>
      </c>
    </row>
    <row r="2" spans="1:5" x14ac:dyDescent="0.3">
      <c r="A2" s="13" t="s">
        <v>16</v>
      </c>
    </row>
    <row r="3" spans="1:5" x14ac:dyDescent="0.3">
      <c r="A3" s="13" t="s">
        <v>17</v>
      </c>
    </row>
    <row r="4" spans="1:5" x14ac:dyDescent="0.3">
      <c r="A4" s="13" t="s">
        <v>18</v>
      </c>
    </row>
    <row r="5" spans="1:5" x14ac:dyDescent="0.3">
      <c r="A5" s="13" t="s">
        <v>19</v>
      </c>
    </row>
    <row r="6" spans="1:5" x14ac:dyDescent="0.3">
      <c r="A6" s="13"/>
      <c r="B6" t="s">
        <v>20</v>
      </c>
    </row>
    <row r="7" spans="1:5" x14ac:dyDescent="0.3">
      <c r="A7" s="13"/>
      <c r="B7" t="s">
        <v>21</v>
      </c>
    </row>
    <row r="8" spans="1:5" x14ac:dyDescent="0.3">
      <c r="A8" s="13"/>
      <c r="B8" t="s">
        <v>22</v>
      </c>
    </row>
    <row r="9" spans="1:5" x14ac:dyDescent="0.3">
      <c r="A9" s="13" t="s">
        <v>23</v>
      </c>
    </row>
    <row r="10" spans="1:5" x14ac:dyDescent="0.3">
      <c r="B10" t="s">
        <v>24</v>
      </c>
    </row>
    <row r="11" spans="1:5" x14ac:dyDescent="0.3">
      <c r="B11" t="s">
        <v>25</v>
      </c>
    </row>
    <row r="12" spans="1:5" x14ac:dyDescent="0.3">
      <c r="B12" t="s">
        <v>26</v>
      </c>
    </row>
    <row r="14" spans="1:5" ht="15" thickBot="1" x14ac:dyDescent="0.35">
      <c r="A14" t="s">
        <v>27</v>
      </c>
    </row>
    <row r="15" spans="1:5" ht="15" thickBot="1" x14ac:dyDescent="0.35">
      <c r="B15" s="15" t="s">
        <v>28</v>
      </c>
      <c r="C15" s="15" t="s">
        <v>29</v>
      </c>
      <c r="D15" s="15" t="s">
        <v>30</v>
      </c>
      <c r="E15" s="15" t="s">
        <v>31</v>
      </c>
    </row>
    <row r="16" spans="1:5" ht="15" thickBot="1" x14ac:dyDescent="0.35">
      <c r="B16" s="14" t="s">
        <v>39</v>
      </c>
      <c r="C16" s="14" t="s">
        <v>40</v>
      </c>
      <c r="D16" s="17">
        <v>0</v>
      </c>
      <c r="E16" s="17">
        <v>1940</v>
      </c>
    </row>
    <row r="19" spans="1:7" ht="15" thickBot="1" x14ac:dyDescent="0.35">
      <c r="A19" t="s">
        <v>32</v>
      </c>
    </row>
    <row r="20" spans="1:7" ht="15" thickBot="1" x14ac:dyDescent="0.35">
      <c r="B20" s="15" t="s">
        <v>28</v>
      </c>
      <c r="C20" s="15" t="s">
        <v>29</v>
      </c>
      <c r="D20" s="15" t="s">
        <v>30</v>
      </c>
      <c r="E20" s="15" t="s">
        <v>31</v>
      </c>
      <c r="F20" s="15" t="s">
        <v>33</v>
      </c>
    </row>
    <row r="21" spans="1:7" x14ac:dyDescent="0.3">
      <c r="B21" s="16" t="s">
        <v>41</v>
      </c>
      <c r="C21" s="16" t="s">
        <v>42</v>
      </c>
      <c r="D21" s="18">
        <v>0</v>
      </c>
      <c r="E21" s="18">
        <v>101.99999999999999</v>
      </c>
      <c r="F21" s="16" t="s">
        <v>43</v>
      </c>
    </row>
    <row r="22" spans="1:7" ht="15" thickBot="1" x14ac:dyDescent="0.35">
      <c r="B22" s="14" t="s">
        <v>44</v>
      </c>
      <c r="C22" s="14" t="s">
        <v>45</v>
      </c>
      <c r="D22" s="17">
        <v>0</v>
      </c>
      <c r="E22" s="17">
        <v>166</v>
      </c>
      <c r="F22" s="14" t="s">
        <v>43</v>
      </c>
    </row>
    <row r="25" spans="1:7" ht="15" thickBot="1" x14ac:dyDescent="0.35">
      <c r="A25" t="s">
        <v>34</v>
      </c>
    </row>
    <row r="26" spans="1:7" ht="15" thickBot="1" x14ac:dyDescent="0.35">
      <c r="B26" s="15" t="s">
        <v>28</v>
      </c>
      <c r="C26" s="15" t="s">
        <v>29</v>
      </c>
      <c r="D26" s="15" t="s">
        <v>35</v>
      </c>
      <c r="E26" s="15" t="s">
        <v>36</v>
      </c>
      <c r="F26" s="15" t="s">
        <v>37</v>
      </c>
      <c r="G26" s="15" t="s">
        <v>38</v>
      </c>
    </row>
    <row r="27" spans="1:7" x14ac:dyDescent="0.3">
      <c r="B27" s="16" t="s">
        <v>46</v>
      </c>
      <c r="C27" s="16" t="s">
        <v>47</v>
      </c>
      <c r="D27" s="18">
        <v>37</v>
      </c>
      <c r="E27" s="16" t="s">
        <v>48</v>
      </c>
      <c r="F27" s="16" t="s">
        <v>49</v>
      </c>
      <c r="G27" s="16">
        <v>3</v>
      </c>
    </row>
    <row r="28" spans="1:7" x14ac:dyDescent="0.3">
      <c r="B28" s="16" t="s">
        <v>50</v>
      </c>
      <c r="C28" s="16" t="s">
        <v>51</v>
      </c>
      <c r="D28" s="18">
        <v>60</v>
      </c>
      <c r="E28" s="16" t="s">
        <v>52</v>
      </c>
      <c r="F28" s="16" t="s">
        <v>53</v>
      </c>
      <c r="G28" s="16">
        <v>0</v>
      </c>
    </row>
    <row r="29" spans="1:7" ht="15" thickBot="1" x14ac:dyDescent="0.35">
      <c r="B29" s="14" t="s">
        <v>54</v>
      </c>
      <c r="C29" s="14" t="s">
        <v>55</v>
      </c>
      <c r="D29" s="17">
        <v>371.4</v>
      </c>
      <c r="E29" s="14" t="s">
        <v>56</v>
      </c>
      <c r="F29" s="14" t="s">
        <v>53</v>
      </c>
      <c r="G29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4B35-1961-42F8-8703-D12ADC061A65}">
  <dimension ref="A1:E17"/>
  <sheetViews>
    <sheetView showGridLines="0" workbookViewId="0"/>
  </sheetViews>
  <sheetFormatPr defaultRowHeight="14.4" x14ac:dyDescent="0.3"/>
  <cols>
    <col min="1" max="1" width="2.33203125" customWidth="1"/>
    <col min="2" max="2" width="5.21875" bestFit="1" customWidth="1"/>
    <col min="3" max="3" width="39" bestFit="1" customWidth="1"/>
    <col min="4" max="4" width="6" bestFit="1" customWidth="1"/>
    <col min="5" max="5" width="12" bestFit="1" customWidth="1"/>
  </cols>
  <sheetData>
    <row r="1" spans="1:5" x14ac:dyDescent="0.3">
      <c r="A1" s="13" t="s">
        <v>57</v>
      </c>
    </row>
    <row r="2" spans="1:5" x14ac:dyDescent="0.3">
      <c r="A2" s="13" t="s">
        <v>16</v>
      </c>
    </row>
    <row r="3" spans="1:5" x14ac:dyDescent="0.3">
      <c r="A3" s="13" t="s">
        <v>17</v>
      </c>
    </row>
    <row r="6" spans="1:5" ht="15" thickBot="1" x14ac:dyDescent="0.35">
      <c r="A6" t="s">
        <v>32</v>
      </c>
    </row>
    <row r="7" spans="1:5" x14ac:dyDescent="0.3">
      <c r="B7" s="19"/>
      <c r="C7" s="19"/>
      <c r="D7" s="19" t="s">
        <v>58</v>
      </c>
      <c r="E7" s="19" t="s">
        <v>60</v>
      </c>
    </row>
    <row r="8" spans="1:5" ht="15" thickBot="1" x14ac:dyDescent="0.35">
      <c r="B8" s="20" t="s">
        <v>28</v>
      </c>
      <c r="C8" s="20" t="s">
        <v>29</v>
      </c>
      <c r="D8" s="20" t="s">
        <v>59</v>
      </c>
      <c r="E8" s="20" t="s">
        <v>61</v>
      </c>
    </row>
    <row r="9" spans="1:5" x14ac:dyDescent="0.3">
      <c r="B9" s="16" t="s">
        <v>41</v>
      </c>
      <c r="C9" s="16" t="s">
        <v>42</v>
      </c>
      <c r="D9" s="16">
        <v>101.99999999999999</v>
      </c>
      <c r="E9" s="16">
        <v>0</v>
      </c>
    </row>
    <row r="10" spans="1:5" ht="15" thickBot="1" x14ac:dyDescent="0.35">
      <c r="B10" s="14" t="s">
        <v>44</v>
      </c>
      <c r="C10" s="14" t="s">
        <v>45</v>
      </c>
      <c r="D10" s="14">
        <v>166</v>
      </c>
      <c r="E10" s="14">
        <v>0</v>
      </c>
    </row>
    <row r="12" spans="1:5" ht="15" thickBot="1" x14ac:dyDescent="0.35">
      <c r="A12" t="s">
        <v>34</v>
      </c>
    </row>
    <row r="13" spans="1:5" x14ac:dyDescent="0.3">
      <c r="B13" s="19"/>
      <c r="C13" s="19"/>
      <c r="D13" s="19" t="s">
        <v>58</v>
      </c>
      <c r="E13" s="19" t="s">
        <v>62</v>
      </c>
    </row>
    <row r="14" spans="1:5" ht="15" thickBot="1" x14ac:dyDescent="0.35">
      <c r="B14" s="20" t="s">
        <v>28</v>
      </c>
      <c r="C14" s="20" t="s">
        <v>29</v>
      </c>
      <c r="D14" s="20" t="s">
        <v>59</v>
      </c>
      <c r="E14" s="20" t="s">
        <v>63</v>
      </c>
    </row>
    <row r="15" spans="1:5" x14ac:dyDescent="0.3">
      <c r="B15" s="16" t="s">
        <v>46</v>
      </c>
      <c r="C15" s="16" t="s">
        <v>47</v>
      </c>
      <c r="D15" s="16">
        <v>37</v>
      </c>
      <c r="E15" s="16">
        <v>0</v>
      </c>
    </row>
    <row r="16" spans="1:5" x14ac:dyDescent="0.3">
      <c r="B16" s="16" t="s">
        <v>50</v>
      </c>
      <c r="C16" s="16" t="s">
        <v>51</v>
      </c>
      <c r="D16" s="16">
        <v>60</v>
      </c>
      <c r="E16" s="16">
        <v>2.8571443148208857</v>
      </c>
    </row>
    <row r="17" spans="2:5" ht="15" thickBot="1" x14ac:dyDescent="0.35">
      <c r="B17" s="14" t="s">
        <v>54</v>
      </c>
      <c r="C17" s="14" t="s">
        <v>55</v>
      </c>
      <c r="D17" s="14">
        <v>371.4</v>
      </c>
      <c r="E17" s="14">
        <v>4.7619044476626131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C0FC-4865-4DAB-8E2D-E35A3220669F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40.44140625" bestFit="1" customWidth="1"/>
    <col min="4" max="4" width="5.77734375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13" t="s">
        <v>64</v>
      </c>
    </row>
    <row r="2" spans="1:10" x14ac:dyDescent="0.3">
      <c r="A2" s="13" t="s">
        <v>16</v>
      </c>
    </row>
    <row r="3" spans="1:10" x14ac:dyDescent="0.3">
      <c r="A3" s="13" t="s">
        <v>17</v>
      </c>
    </row>
    <row r="5" spans="1:10" ht="15" thickBot="1" x14ac:dyDescent="0.35"/>
    <row r="6" spans="1:10" x14ac:dyDescent="0.3">
      <c r="B6" s="19"/>
      <c r="C6" s="19" t="s">
        <v>65</v>
      </c>
      <c r="D6" s="19"/>
    </row>
    <row r="7" spans="1:10" ht="15" thickBot="1" x14ac:dyDescent="0.35">
      <c r="B7" s="20" t="s">
        <v>28</v>
      </c>
      <c r="C7" s="20" t="s">
        <v>29</v>
      </c>
      <c r="D7" s="20" t="s">
        <v>59</v>
      </c>
    </row>
    <row r="8" spans="1:10" ht="15" thickBot="1" x14ac:dyDescent="0.35">
      <c r="B8" s="14" t="s">
        <v>39</v>
      </c>
      <c r="C8" s="14" t="s">
        <v>40</v>
      </c>
      <c r="D8" s="17">
        <v>1940</v>
      </c>
    </row>
    <row r="10" spans="1:10" ht="15" thickBot="1" x14ac:dyDescent="0.35"/>
    <row r="11" spans="1:10" x14ac:dyDescent="0.3">
      <c r="B11" s="19"/>
      <c r="C11" s="19" t="s">
        <v>66</v>
      </c>
      <c r="D11" s="19"/>
      <c r="F11" s="19" t="s">
        <v>67</v>
      </c>
      <c r="G11" s="19" t="s">
        <v>65</v>
      </c>
      <c r="I11" s="19" t="s">
        <v>70</v>
      </c>
      <c r="J11" s="19" t="s">
        <v>65</v>
      </c>
    </row>
    <row r="12" spans="1:10" ht="15" thickBot="1" x14ac:dyDescent="0.35">
      <c r="B12" s="20" t="s">
        <v>28</v>
      </c>
      <c r="C12" s="20" t="s">
        <v>29</v>
      </c>
      <c r="D12" s="20" t="s">
        <v>59</v>
      </c>
      <c r="F12" s="20" t="s">
        <v>68</v>
      </c>
      <c r="G12" s="20" t="s">
        <v>69</v>
      </c>
      <c r="I12" s="20" t="s">
        <v>68</v>
      </c>
      <c r="J12" s="20" t="s">
        <v>69</v>
      </c>
    </row>
    <row r="13" spans="1:10" x14ac:dyDescent="0.3">
      <c r="B13" s="16" t="s">
        <v>41</v>
      </c>
      <c r="C13" s="16" t="s">
        <v>42</v>
      </c>
      <c r="D13" s="18">
        <v>101.99999999999999</v>
      </c>
      <c r="F13" s="18">
        <v>0</v>
      </c>
      <c r="G13" s="18">
        <v>1328</v>
      </c>
      <c r="I13" s="18">
        <v>101.99999999999999</v>
      </c>
      <c r="J13" s="18">
        <v>1940</v>
      </c>
    </row>
    <row r="14" spans="1:10" ht="15" thickBot="1" x14ac:dyDescent="0.35">
      <c r="B14" s="14" t="s">
        <v>44</v>
      </c>
      <c r="C14" s="14" t="s">
        <v>45</v>
      </c>
      <c r="D14" s="17">
        <v>166</v>
      </c>
      <c r="F14" s="17">
        <v>0</v>
      </c>
      <c r="G14" s="17">
        <v>611.99999999999989</v>
      </c>
      <c r="I14" s="17">
        <v>166</v>
      </c>
      <c r="J14" s="17">
        <v>1940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324D-25A0-42A2-9554-7D5113EABAF3}">
  <dimension ref="A1:G29"/>
  <sheetViews>
    <sheetView showGridLines="0" workbookViewId="0"/>
  </sheetViews>
  <sheetFormatPr defaultRowHeight="14.4" x14ac:dyDescent="0.3"/>
  <cols>
    <col min="1" max="1" width="2.33203125" customWidth="1"/>
    <col min="2" max="2" width="5" bestFit="1" customWidth="1"/>
    <col min="3" max="3" width="40.44140625" bestFit="1" customWidth="1"/>
    <col min="4" max="4" width="12.6640625" bestFit="1" customWidth="1"/>
    <col min="5" max="5" width="11.6640625" bestFit="1" customWidth="1"/>
    <col min="6" max="6" width="10.44140625" bestFit="1" customWidth="1"/>
    <col min="7" max="7" width="5.33203125" bestFit="1" customWidth="1"/>
  </cols>
  <sheetData>
    <row r="1" spans="1:5" x14ac:dyDescent="0.3">
      <c r="A1" s="13" t="s">
        <v>15</v>
      </c>
    </row>
    <row r="2" spans="1:5" x14ac:dyDescent="0.3">
      <c r="A2" s="13" t="s">
        <v>16</v>
      </c>
    </row>
    <row r="3" spans="1:5" x14ac:dyDescent="0.3">
      <c r="A3" s="13" t="s">
        <v>77</v>
      </c>
    </row>
    <row r="4" spans="1:5" x14ac:dyDescent="0.3">
      <c r="A4" s="13" t="s">
        <v>18</v>
      </c>
    </row>
    <row r="5" spans="1:5" x14ac:dyDescent="0.3">
      <c r="A5" s="13" t="s">
        <v>19</v>
      </c>
    </row>
    <row r="6" spans="1:5" x14ac:dyDescent="0.3">
      <c r="A6" s="13"/>
      <c r="B6" t="s">
        <v>20</v>
      </c>
    </row>
    <row r="7" spans="1:5" x14ac:dyDescent="0.3">
      <c r="A7" s="13"/>
      <c r="B7" t="s">
        <v>21</v>
      </c>
    </row>
    <row r="8" spans="1:5" x14ac:dyDescent="0.3">
      <c r="A8" s="13"/>
      <c r="B8" t="s">
        <v>22</v>
      </c>
    </row>
    <row r="9" spans="1:5" x14ac:dyDescent="0.3">
      <c r="A9" s="13" t="s">
        <v>23</v>
      </c>
    </row>
    <row r="10" spans="1:5" x14ac:dyDescent="0.3">
      <c r="B10" t="s">
        <v>24</v>
      </c>
    </row>
    <row r="11" spans="1:5" x14ac:dyDescent="0.3">
      <c r="B11" t="s">
        <v>25</v>
      </c>
    </row>
    <row r="12" spans="1:5" x14ac:dyDescent="0.3">
      <c r="B12" t="s">
        <v>26</v>
      </c>
    </row>
    <row r="14" spans="1:5" ht="15" thickBot="1" x14ac:dyDescent="0.35">
      <c r="A14" t="s">
        <v>27</v>
      </c>
    </row>
    <row r="15" spans="1:5" ht="15" thickBot="1" x14ac:dyDescent="0.35">
      <c r="B15" s="15" t="s">
        <v>28</v>
      </c>
      <c r="C15" s="15" t="s">
        <v>29</v>
      </c>
      <c r="D15" s="15" t="s">
        <v>30</v>
      </c>
      <c r="E15" s="15" t="s">
        <v>31</v>
      </c>
    </row>
    <row r="16" spans="1:5" ht="15" thickBot="1" x14ac:dyDescent="0.35">
      <c r="B16" s="14" t="s">
        <v>78</v>
      </c>
      <c r="C16" s="14" t="s">
        <v>40</v>
      </c>
      <c r="D16" s="17">
        <v>0</v>
      </c>
      <c r="E16" s="17">
        <v>276</v>
      </c>
    </row>
    <row r="19" spans="1:7" ht="15" thickBot="1" x14ac:dyDescent="0.35">
      <c r="A19" t="s">
        <v>32</v>
      </c>
    </row>
    <row r="20" spans="1:7" ht="15" thickBot="1" x14ac:dyDescent="0.35">
      <c r="B20" s="15" t="s">
        <v>28</v>
      </c>
      <c r="C20" s="15" t="s">
        <v>29</v>
      </c>
      <c r="D20" s="15" t="s">
        <v>30</v>
      </c>
      <c r="E20" s="15" t="s">
        <v>31</v>
      </c>
      <c r="F20" s="15" t="s">
        <v>33</v>
      </c>
    </row>
    <row r="21" spans="1:7" x14ac:dyDescent="0.3">
      <c r="B21" s="16" t="s">
        <v>79</v>
      </c>
      <c r="C21" s="16" t="s">
        <v>42</v>
      </c>
      <c r="D21" s="18">
        <v>0</v>
      </c>
      <c r="E21" s="18">
        <v>12.000000000000004</v>
      </c>
      <c r="F21" s="16" t="s">
        <v>43</v>
      </c>
    </row>
    <row r="22" spans="1:7" ht="15" thickBot="1" x14ac:dyDescent="0.35">
      <c r="B22" s="14" t="s">
        <v>80</v>
      </c>
      <c r="C22" s="14" t="s">
        <v>45</v>
      </c>
      <c r="D22" s="17">
        <v>0</v>
      </c>
      <c r="E22" s="17">
        <v>5.9999999999999973</v>
      </c>
      <c r="F22" s="14" t="s">
        <v>43</v>
      </c>
    </row>
    <row r="25" spans="1:7" ht="15" thickBot="1" x14ac:dyDescent="0.35">
      <c r="A25" t="s">
        <v>34</v>
      </c>
    </row>
    <row r="26" spans="1:7" ht="15" thickBot="1" x14ac:dyDescent="0.35">
      <c r="B26" s="15" t="s">
        <v>28</v>
      </c>
      <c r="C26" s="15" t="s">
        <v>29</v>
      </c>
      <c r="D26" s="15" t="s">
        <v>35</v>
      </c>
      <c r="E26" s="15" t="s">
        <v>36</v>
      </c>
      <c r="F26" s="15" t="s">
        <v>37</v>
      </c>
      <c r="G26" s="15" t="s">
        <v>38</v>
      </c>
    </row>
    <row r="27" spans="1:7" x14ac:dyDescent="0.3">
      <c r="B27" s="16" t="s">
        <v>81</v>
      </c>
      <c r="C27" s="16" t="s">
        <v>82</v>
      </c>
      <c r="D27" s="18">
        <v>168</v>
      </c>
      <c r="E27" s="16" t="s">
        <v>83</v>
      </c>
      <c r="F27" s="16" t="s">
        <v>53</v>
      </c>
      <c r="G27" s="16">
        <v>0</v>
      </c>
    </row>
    <row r="28" spans="1:7" x14ac:dyDescent="0.3">
      <c r="B28" s="16" t="s">
        <v>84</v>
      </c>
      <c r="C28" s="16" t="s">
        <v>85</v>
      </c>
      <c r="D28" s="18">
        <v>119.99999999999999</v>
      </c>
      <c r="E28" s="16" t="s">
        <v>86</v>
      </c>
      <c r="F28" s="16" t="s">
        <v>49</v>
      </c>
      <c r="G28" s="16">
        <v>60.000000000000014</v>
      </c>
    </row>
    <row r="29" spans="1:7" ht="15" thickBot="1" x14ac:dyDescent="0.35">
      <c r="B29" s="14" t="s">
        <v>87</v>
      </c>
      <c r="C29" s="14" t="s">
        <v>88</v>
      </c>
      <c r="D29" s="17">
        <v>144</v>
      </c>
      <c r="E29" s="14" t="s">
        <v>89</v>
      </c>
      <c r="F29" s="14" t="s">
        <v>53</v>
      </c>
      <c r="G29" s="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7FD5-54D3-4C3A-9721-DC0B88199E71}">
  <dimension ref="A1:E17"/>
  <sheetViews>
    <sheetView showGridLines="0" tabSelected="1" workbookViewId="0">
      <selection activeCell="J18" sqref="J18"/>
    </sheetView>
  </sheetViews>
  <sheetFormatPr defaultRowHeight="14.4" x14ac:dyDescent="0.3"/>
  <cols>
    <col min="1" max="1" width="2.33203125" customWidth="1"/>
    <col min="2" max="2" width="5" bestFit="1" customWidth="1"/>
    <col min="3" max="3" width="36.6640625" bestFit="1" customWidth="1"/>
    <col min="4" max="4" width="5.77734375" bestFit="1" customWidth="1"/>
    <col min="5" max="5" width="12" bestFit="1" customWidth="1"/>
  </cols>
  <sheetData>
    <row r="1" spans="1:5" x14ac:dyDescent="0.3">
      <c r="A1" s="13" t="s">
        <v>57</v>
      </c>
    </row>
    <row r="2" spans="1:5" x14ac:dyDescent="0.3">
      <c r="A2" s="13" t="s">
        <v>16</v>
      </c>
    </row>
    <row r="3" spans="1:5" x14ac:dyDescent="0.3">
      <c r="A3" s="13" t="s">
        <v>90</v>
      </c>
    </row>
    <row r="6" spans="1:5" ht="15" thickBot="1" x14ac:dyDescent="0.35">
      <c r="A6" t="s">
        <v>32</v>
      </c>
    </row>
    <row r="7" spans="1:5" x14ac:dyDescent="0.3">
      <c r="B7" s="19"/>
      <c r="C7" s="19"/>
      <c r="D7" s="19" t="s">
        <v>58</v>
      </c>
      <c r="E7" s="19" t="s">
        <v>60</v>
      </c>
    </row>
    <row r="8" spans="1:5" ht="15" thickBot="1" x14ac:dyDescent="0.35">
      <c r="B8" s="20" t="s">
        <v>28</v>
      </c>
      <c r="C8" s="20" t="s">
        <v>29</v>
      </c>
      <c r="D8" s="20" t="s">
        <v>59</v>
      </c>
      <c r="E8" s="20" t="s">
        <v>61</v>
      </c>
    </row>
    <row r="9" spans="1:5" x14ac:dyDescent="0.3">
      <c r="B9" s="16" t="s">
        <v>79</v>
      </c>
      <c r="C9" s="16" t="s">
        <v>42</v>
      </c>
      <c r="D9" s="16">
        <v>12.000000000000004</v>
      </c>
      <c r="E9" s="16">
        <v>0</v>
      </c>
    </row>
    <row r="10" spans="1:5" ht="15" thickBot="1" x14ac:dyDescent="0.35">
      <c r="B10" s="14" t="s">
        <v>80</v>
      </c>
      <c r="C10" s="14" t="s">
        <v>45</v>
      </c>
      <c r="D10" s="14">
        <v>5.9999999999999973</v>
      </c>
      <c r="E10" s="14">
        <v>0</v>
      </c>
    </row>
    <row r="12" spans="1:5" ht="15" thickBot="1" x14ac:dyDescent="0.35">
      <c r="A12" t="s">
        <v>34</v>
      </c>
    </row>
    <row r="13" spans="1:5" x14ac:dyDescent="0.3">
      <c r="B13" s="19"/>
      <c r="C13" s="19"/>
      <c r="D13" s="19" t="s">
        <v>58</v>
      </c>
      <c r="E13" s="19" t="s">
        <v>62</v>
      </c>
    </row>
    <row r="14" spans="1:5" ht="15" thickBot="1" x14ac:dyDescent="0.35">
      <c r="B14" s="20" t="s">
        <v>28</v>
      </c>
      <c r="C14" s="20" t="s">
        <v>29</v>
      </c>
      <c r="D14" s="20" t="s">
        <v>59</v>
      </c>
      <c r="E14" s="20" t="s">
        <v>63</v>
      </c>
    </row>
    <row r="15" spans="1:5" x14ac:dyDescent="0.3">
      <c r="B15" s="16" t="s">
        <v>81</v>
      </c>
      <c r="C15" s="16" t="s">
        <v>82</v>
      </c>
      <c r="D15" s="16">
        <v>168</v>
      </c>
      <c r="E15" s="16">
        <v>0.83333333333333304</v>
      </c>
    </row>
    <row r="16" spans="1:5" x14ac:dyDescent="0.3">
      <c r="B16" s="16" t="s">
        <v>84</v>
      </c>
      <c r="C16" s="16" t="s">
        <v>85</v>
      </c>
      <c r="D16" s="16">
        <v>119.99999999999999</v>
      </c>
      <c r="E16" s="16">
        <v>0</v>
      </c>
    </row>
    <row r="17" spans="2:5" ht="15" thickBot="1" x14ac:dyDescent="0.35">
      <c r="B17" s="14" t="s">
        <v>87</v>
      </c>
      <c r="C17" s="14" t="s">
        <v>88</v>
      </c>
      <c r="D17" s="14">
        <v>144</v>
      </c>
      <c r="E17" s="14">
        <v>0.94444444444444464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F2CA-F2FF-4ED6-A299-6B7B176D7B80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" bestFit="1" customWidth="1"/>
    <col min="3" max="3" width="40.44140625" bestFit="1" customWidth="1"/>
    <col min="4" max="4" width="5.77734375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13" t="s">
        <v>64</v>
      </c>
    </row>
    <row r="2" spans="1:10" x14ac:dyDescent="0.3">
      <c r="A2" s="13" t="s">
        <v>16</v>
      </c>
    </row>
    <row r="3" spans="1:10" x14ac:dyDescent="0.3">
      <c r="A3" s="13" t="s">
        <v>90</v>
      </c>
    </row>
    <row r="5" spans="1:10" ht="15" thickBot="1" x14ac:dyDescent="0.35"/>
    <row r="6" spans="1:10" x14ac:dyDescent="0.3">
      <c r="B6" s="19"/>
      <c r="C6" s="19" t="s">
        <v>65</v>
      </c>
      <c r="D6" s="19"/>
    </row>
    <row r="7" spans="1:10" ht="15" thickBot="1" x14ac:dyDescent="0.35">
      <c r="B7" s="20" t="s">
        <v>28</v>
      </c>
      <c r="C7" s="20" t="s">
        <v>29</v>
      </c>
      <c r="D7" s="20" t="s">
        <v>59</v>
      </c>
    </row>
    <row r="8" spans="1:10" ht="15" thickBot="1" x14ac:dyDescent="0.35">
      <c r="B8" s="14" t="s">
        <v>78</v>
      </c>
      <c r="C8" s="14" t="s">
        <v>40</v>
      </c>
      <c r="D8" s="17">
        <v>276</v>
      </c>
    </row>
    <row r="10" spans="1:10" ht="15" thickBot="1" x14ac:dyDescent="0.35"/>
    <row r="11" spans="1:10" x14ac:dyDescent="0.3">
      <c r="B11" s="19"/>
      <c r="C11" s="19" t="s">
        <v>66</v>
      </c>
      <c r="D11" s="19"/>
      <c r="F11" s="19" t="s">
        <v>67</v>
      </c>
      <c r="G11" s="19" t="s">
        <v>65</v>
      </c>
      <c r="I11" s="19" t="s">
        <v>70</v>
      </c>
      <c r="J11" s="19" t="s">
        <v>65</v>
      </c>
    </row>
    <row r="12" spans="1:10" ht="15" thickBot="1" x14ac:dyDescent="0.35">
      <c r="B12" s="20" t="s">
        <v>28</v>
      </c>
      <c r="C12" s="20" t="s">
        <v>29</v>
      </c>
      <c r="D12" s="20" t="s">
        <v>59</v>
      </c>
      <c r="F12" s="20" t="s">
        <v>68</v>
      </c>
      <c r="G12" s="20" t="s">
        <v>69</v>
      </c>
      <c r="I12" s="20" t="s">
        <v>68</v>
      </c>
      <c r="J12" s="20" t="s">
        <v>69</v>
      </c>
    </row>
    <row r="13" spans="1:10" x14ac:dyDescent="0.3">
      <c r="B13" s="16" t="s">
        <v>79</v>
      </c>
      <c r="C13" s="16" t="s">
        <v>42</v>
      </c>
      <c r="D13" s="18">
        <v>12.000000000000004</v>
      </c>
      <c r="F13" s="18">
        <v>0</v>
      </c>
      <c r="G13" s="18">
        <v>107.99999999999996</v>
      </c>
      <c r="I13" s="18">
        <v>12.000000000000004</v>
      </c>
      <c r="J13" s="18">
        <v>276</v>
      </c>
    </row>
    <row r="14" spans="1:10" ht="15" thickBot="1" x14ac:dyDescent="0.35">
      <c r="B14" s="14" t="s">
        <v>80</v>
      </c>
      <c r="C14" s="14" t="s">
        <v>45</v>
      </c>
      <c r="D14" s="17">
        <v>5.9999999999999973</v>
      </c>
      <c r="F14" s="17">
        <v>0</v>
      </c>
      <c r="G14" s="17">
        <v>168.00000000000006</v>
      </c>
      <c r="I14" s="17">
        <v>5.9999999999999947</v>
      </c>
      <c r="J14" s="17">
        <v>275.99999999999994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C452-8136-4F81-9042-B499D8F6B687}">
  <dimension ref="A1:M13"/>
  <sheetViews>
    <sheetView workbookViewId="0">
      <selection activeCell="K11" sqref="K11"/>
    </sheetView>
  </sheetViews>
  <sheetFormatPr defaultRowHeight="14.4" x14ac:dyDescent="0.3"/>
  <cols>
    <col min="1" max="1" width="18.21875" bestFit="1" customWidth="1"/>
    <col min="4" max="4" width="22.5546875" bestFit="1" customWidth="1"/>
    <col min="6" max="6" width="18.21875" bestFit="1" customWidth="1"/>
    <col min="8" max="8" width="18.21875" bestFit="1" customWidth="1"/>
    <col min="11" max="11" width="22.5546875" bestFit="1" customWidth="1"/>
  </cols>
  <sheetData>
    <row r="1" spans="1:13" ht="15" thickBot="1" x14ac:dyDescent="0.35">
      <c r="A1" s="2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5" t="s">
        <v>8</v>
      </c>
      <c r="H1" s="21" t="s">
        <v>71</v>
      </c>
      <c r="I1" s="22" t="s">
        <v>72</v>
      </c>
      <c r="J1" s="22" t="s">
        <v>73</v>
      </c>
      <c r="K1" s="23" t="s">
        <v>6</v>
      </c>
      <c r="L1" s="23" t="s">
        <v>7</v>
      </c>
      <c r="M1" s="24" t="s">
        <v>8</v>
      </c>
    </row>
    <row r="2" spans="1:13" x14ac:dyDescent="0.3">
      <c r="A2" s="6" t="s">
        <v>9</v>
      </c>
      <c r="B2" s="4">
        <v>0.2</v>
      </c>
      <c r="C2" s="4">
        <v>0.1</v>
      </c>
      <c r="D2" s="11">
        <f>SUMPRODUCT($B$7:$C$7,B2:C2)</f>
        <v>37</v>
      </c>
      <c r="E2" s="4" t="s">
        <v>2</v>
      </c>
      <c r="F2" s="10">
        <v>40</v>
      </c>
      <c r="H2" s="25" t="s">
        <v>74</v>
      </c>
      <c r="I2" s="23">
        <v>10</v>
      </c>
      <c r="J2" s="23">
        <v>8</v>
      </c>
      <c r="K2" s="11">
        <f>SUMPRODUCT($I$7:$J$7,I2:J2)</f>
        <v>168</v>
      </c>
      <c r="L2" s="26" t="s">
        <v>2</v>
      </c>
      <c r="M2" s="26">
        <v>168</v>
      </c>
    </row>
    <row r="3" spans="1:13" x14ac:dyDescent="0.3">
      <c r="A3" s="7" t="s">
        <v>10</v>
      </c>
      <c r="B3" s="4">
        <v>0.1</v>
      </c>
      <c r="C3" s="4">
        <v>0.3</v>
      </c>
      <c r="D3" s="11">
        <f t="shared" ref="D3" si="0">SUMPRODUCT($B$7:$C$7,B3:C3)</f>
        <v>60</v>
      </c>
      <c r="E3" s="4" t="s">
        <v>2</v>
      </c>
      <c r="F3" s="10">
        <v>60</v>
      </c>
      <c r="H3" s="27" t="s">
        <v>75</v>
      </c>
      <c r="I3" s="23">
        <v>5</v>
      </c>
      <c r="J3" s="23">
        <v>10</v>
      </c>
      <c r="K3" s="11">
        <f t="shared" ref="K3:K4" si="1">SUMPRODUCT($I$7:$J$7,I3:J3)</f>
        <v>119.99999999999999</v>
      </c>
      <c r="L3" s="26" t="s">
        <v>2</v>
      </c>
      <c r="M3" s="26">
        <v>180</v>
      </c>
    </row>
    <row r="4" spans="1:13" x14ac:dyDescent="0.3">
      <c r="A4" s="8" t="s">
        <v>11</v>
      </c>
      <c r="B4" s="8">
        <v>1.2</v>
      </c>
      <c r="C4" s="9">
        <v>1.5</v>
      </c>
      <c r="D4" s="11">
        <f>SUMPRODUCT($B$7:$C$7,B4:C4)</f>
        <v>371.4</v>
      </c>
      <c r="E4" s="4" t="s">
        <v>2</v>
      </c>
      <c r="F4" s="12">
        <v>371.4</v>
      </c>
      <c r="H4" s="28" t="s">
        <v>76</v>
      </c>
      <c r="I4" s="28">
        <v>6</v>
      </c>
      <c r="J4" s="29">
        <v>12</v>
      </c>
      <c r="K4" s="11">
        <f t="shared" si="1"/>
        <v>144</v>
      </c>
      <c r="L4" s="26" t="s">
        <v>2</v>
      </c>
      <c r="M4" s="32">
        <v>144</v>
      </c>
    </row>
    <row r="5" spans="1:13" x14ac:dyDescent="0.3">
      <c r="A5" s="4"/>
      <c r="B5" s="4"/>
      <c r="C5" s="4"/>
      <c r="D5" s="4"/>
      <c r="E5" s="4">
        <v>0</v>
      </c>
      <c r="F5" s="10">
        <v>0</v>
      </c>
      <c r="G5" s="1"/>
      <c r="H5" s="23"/>
      <c r="I5" s="23"/>
      <c r="J5" s="23"/>
      <c r="K5" s="26"/>
      <c r="L5" s="26"/>
      <c r="M5" s="26"/>
    </row>
    <row r="6" spans="1:13" x14ac:dyDescent="0.3">
      <c r="A6" s="4"/>
      <c r="B6" s="4" t="s">
        <v>0</v>
      </c>
      <c r="C6" s="4" t="s">
        <v>1</v>
      </c>
      <c r="D6" s="4"/>
      <c r="E6" s="4"/>
      <c r="F6" s="10"/>
      <c r="G6" s="1"/>
      <c r="H6" s="23"/>
      <c r="I6" s="23" t="s">
        <v>0</v>
      </c>
      <c r="J6" s="23" t="s">
        <v>1</v>
      </c>
      <c r="K6" s="26"/>
      <c r="L6" s="26"/>
      <c r="M6" s="26"/>
    </row>
    <row r="7" spans="1:13" x14ac:dyDescent="0.3">
      <c r="A7" s="4" t="s">
        <v>12</v>
      </c>
      <c r="B7" s="11">
        <v>101.99999999999999</v>
      </c>
      <c r="C7" s="11">
        <v>166</v>
      </c>
      <c r="D7" s="4"/>
      <c r="E7" s="4"/>
      <c r="F7" s="10"/>
      <c r="G7" s="1"/>
      <c r="H7" s="23" t="s">
        <v>12</v>
      </c>
      <c r="I7" s="30">
        <v>12.000000000000004</v>
      </c>
      <c r="J7" s="30">
        <v>5.9999999999999973</v>
      </c>
      <c r="K7" s="26"/>
      <c r="L7" s="26"/>
      <c r="M7" s="26"/>
    </row>
    <row r="8" spans="1:13" x14ac:dyDescent="0.3">
      <c r="A8" s="4"/>
      <c r="B8" s="4"/>
      <c r="C8" s="4"/>
      <c r="D8" s="4"/>
      <c r="E8" s="4"/>
      <c r="F8" s="4"/>
      <c r="G8" s="1"/>
      <c r="H8" s="23"/>
      <c r="I8" s="23"/>
      <c r="J8" s="23"/>
      <c r="K8" s="26"/>
      <c r="L8" s="26"/>
      <c r="M8" s="26"/>
    </row>
    <row r="9" spans="1:13" x14ac:dyDescent="0.3">
      <c r="A9" s="4" t="s">
        <v>13</v>
      </c>
      <c r="B9" s="4">
        <v>6</v>
      </c>
      <c r="C9" s="4">
        <v>8</v>
      </c>
      <c r="D9" s="4"/>
      <c r="E9" s="4"/>
      <c r="F9" s="4"/>
      <c r="G9" s="1"/>
      <c r="H9" s="31" t="s">
        <v>13</v>
      </c>
      <c r="I9" s="31">
        <v>14</v>
      </c>
      <c r="J9" s="31">
        <v>18</v>
      </c>
      <c r="K9" s="26"/>
      <c r="L9" s="26"/>
      <c r="M9" s="26"/>
    </row>
    <row r="10" spans="1:13" x14ac:dyDescent="0.3">
      <c r="A10" s="4"/>
      <c r="B10" s="4"/>
      <c r="C10" s="4"/>
      <c r="D10" s="4"/>
      <c r="E10" s="4"/>
      <c r="F10" s="4"/>
      <c r="G10" s="1"/>
      <c r="H10" s="31"/>
      <c r="I10" s="31"/>
      <c r="J10" s="31"/>
      <c r="K10" s="26"/>
      <c r="L10" s="26"/>
      <c r="M10" s="26"/>
    </row>
    <row r="11" spans="1:13" x14ac:dyDescent="0.3">
      <c r="A11" s="4" t="s">
        <v>14</v>
      </c>
      <c r="B11" s="4"/>
      <c r="C11" s="4"/>
      <c r="D11" s="11">
        <f>SUMPRODUCT(B7:C7,B9:C9)</f>
        <v>1940</v>
      </c>
      <c r="E11" s="4"/>
      <c r="F11" s="4"/>
      <c r="G11" s="1"/>
      <c r="H11" s="23" t="s">
        <v>14</v>
      </c>
      <c r="I11" s="23"/>
      <c r="J11" s="23"/>
      <c r="K11" s="11">
        <f>SUMPRODUCT(I7:J7,I9:J9)</f>
        <v>276</v>
      </c>
      <c r="L11" s="26"/>
      <c r="M11" s="26"/>
    </row>
    <row r="12" spans="1:13" x14ac:dyDescent="0.3">
      <c r="E12" s="1"/>
      <c r="F12" s="1"/>
      <c r="G12" s="1"/>
      <c r="H12" s="1"/>
      <c r="K12" s="1"/>
      <c r="L12" s="1"/>
      <c r="M12" s="1"/>
    </row>
    <row r="13" spans="1:13" x14ac:dyDescent="0.3">
      <c r="E13" s="1"/>
      <c r="F13" s="1"/>
      <c r="G13" s="1"/>
      <c r="H13" s="1"/>
      <c r="K13" s="1"/>
      <c r="L13" s="1"/>
      <c r="M13" s="1"/>
    </row>
  </sheetData>
  <scenarios current="0">
    <scenario name="nemo" count="2" user="Wladisl4W" comment="Created by Wladisl4W on 12/14/2025">
      <inputCells r="E5" val="1.38461538461538"/>
      <inputCells r="F5" val="2.07692307692308"/>
    </scenario>
    <scenario name="nemo1" count="2" user="Wladisl4W" comment="Created by Wladisl4W on 12/14/2025">
      <inputCells r="E5" val="1.38461538461538"/>
      <inputCells r="F5" val="2.07692307692308"/>
    </scenario>
    <scenario name="nemo2" count="2" user="Wladisl4W" comment="Created by Wladisl4W on 12/14/2025">
      <inputCells r="E5" val="1.38461538461538"/>
      <inputCells r="F5" val="2.07692307692308"/>
    </scenario>
    <scenario name="nemo4" count="2" user="Wladisl4W" comment="Created by Wladisl4W on 12/14/2025">
      <inputCells r="E5" val="1.38461538461538"/>
      <inputCells r="F5" val="2.07692307692308"/>
    </scenario>
    <scenario name="nemo5" count="2" user="Wladisl4W" comment="Created by Wladisl4W on 12/14/2025">
      <inputCells r="E5" val="0"/>
      <inputCells r="F5" val="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Акукамбеков</dc:creator>
  <cp:lastModifiedBy>Владислав Акукамбеков</cp:lastModifiedBy>
  <dcterms:created xsi:type="dcterms:W3CDTF">2025-12-14T17:32:50Z</dcterms:created>
  <dcterms:modified xsi:type="dcterms:W3CDTF">2025-12-14T19:06:50Z</dcterms:modified>
</cp:coreProperties>
</file>
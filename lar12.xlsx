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isl4W\Desktop\"/>
    </mc:Choice>
  </mc:AlternateContent>
  <xr:revisionPtr revIDLastSave="0" documentId="13_ncr:1_{C0DB1FD4-241F-4FCD-92CE-EDA197B3BC16}" xr6:coauthVersionLast="47" xr6:coauthVersionMax="47" xr10:uidLastSave="{00000000-0000-0000-0000-000000000000}"/>
  <bookViews>
    <workbookView xWindow="-108" yWindow="-108" windowWidth="23256" windowHeight="12456" xr2:uid="{C657E06F-990F-475F-B7FC-5B60162AF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" i="1" l="1"/>
  <c r="U9" i="1"/>
  <c r="V9" i="1"/>
  <c r="W9" i="1"/>
  <c r="X9" i="1"/>
  <c r="Y9" i="1"/>
  <c r="Z9" i="1"/>
  <c r="AA9" i="1"/>
  <c r="AB9" i="1"/>
  <c r="S9" i="1"/>
  <c r="T11" i="1"/>
  <c r="U11" i="1"/>
  <c r="V11" i="1"/>
  <c r="W11" i="1"/>
  <c r="X11" i="1"/>
  <c r="Y11" i="1"/>
  <c r="Z11" i="1"/>
  <c r="AA11" i="1"/>
  <c r="AB11" i="1"/>
  <c r="S11" i="1"/>
  <c r="T7" i="1"/>
  <c r="U7" i="1"/>
  <c r="V7" i="1"/>
  <c r="W7" i="1"/>
  <c r="X7" i="1"/>
  <c r="Y7" i="1"/>
  <c r="AL9" i="1" s="1"/>
  <c r="Z7" i="1"/>
  <c r="AA7" i="1"/>
  <c r="AB7" i="1"/>
  <c r="S7" i="1"/>
  <c r="R5" i="1"/>
  <c r="Q5" i="1"/>
  <c r="T13" i="1"/>
  <c r="U13" i="1"/>
  <c r="AH9" i="1" s="1"/>
  <c r="V13" i="1"/>
  <c r="W13" i="1"/>
  <c r="X13" i="1"/>
  <c r="Y13" i="1"/>
  <c r="Z13" i="1"/>
  <c r="AA13" i="1"/>
  <c r="AB13" i="1"/>
  <c r="T14" i="1"/>
  <c r="U14" i="1"/>
  <c r="V14" i="1"/>
  <c r="W14" i="1"/>
  <c r="X14" i="1"/>
  <c r="Y14" i="1"/>
  <c r="Z14" i="1"/>
  <c r="AA14" i="1"/>
  <c r="AB14" i="1"/>
  <c r="S14" i="1"/>
  <c r="S13" i="1"/>
  <c r="AE18" i="1"/>
  <c r="AF18" i="1"/>
  <c r="AG18" i="1"/>
  <c r="AH18" i="1"/>
  <c r="AI18" i="1"/>
  <c r="AJ18" i="1"/>
  <c r="AK18" i="1"/>
  <c r="AL18" i="1"/>
  <c r="AM18" i="1"/>
  <c r="AM24" i="1" s="1"/>
  <c r="AN18" i="1"/>
  <c r="AO18" i="1"/>
  <c r="AR20" i="1"/>
  <c r="AD26" i="1"/>
  <c r="AD27" i="1"/>
  <c r="AF24" i="1"/>
  <c r="AG24" i="1"/>
  <c r="AH24" i="1"/>
  <c r="AI24" i="1"/>
  <c r="AJ24" i="1"/>
  <c r="AK24" i="1"/>
  <c r="AL24" i="1"/>
  <c r="AN24" i="1"/>
  <c r="AO24" i="1"/>
  <c r="AE14" i="1"/>
  <c r="AE16" i="1" s="1"/>
  <c r="AD14" i="1"/>
  <c r="AD16" i="1" s="1"/>
  <c r="AD17" i="1" s="1"/>
  <c r="AH8" i="1"/>
  <c r="AE19" i="1"/>
  <c r="AF19" i="1"/>
  <c r="AG19" i="1"/>
  <c r="AH19" i="1"/>
  <c r="AI19" i="1"/>
  <c r="AJ19" i="1"/>
  <c r="AK19" i="1"/>
  <c r="AL19" i="1"/>
  <c r="AM19" i="1"/>
  <c r="AN19" i="1"/>
  <c r="AO19" i="1"/>
  <c r="AD19" i="1"/>
  <c r="AW16" i="1"/>
  <c r="AT16" i="1"/>
  <c r="AW14" i="1"/>
  <c r="AT14" i="1"/>
  <c r="AO9" i="1"/>
  <c r="AG11" i="1"/>
  <c r="AH11" i="1"/>
  <c r="AI11" i="1"/>
  <c r="AJ11" i="1"/>
  <c r="AK11" i="1"/>
  <c r="AL11" i="1"/>
  <c r="AM11" i="1"/>
  <c r="AN11" i="1"/>
  <c r="AO11" i="1"/>
  <c r="AF11" i="1"/>
  <c r="AW15" i="1"/>
  <c r="AT15" i="1"/>
  <c r="AW13" i="1"/>
  <c r="AT13" i="1"/>
  <c r="AI8" i="1"/>
  <c r="AJ8" i="1"/>
  <c r="AW11" i="1"/>
  <c r="AT11" i="1"/>
  <c r="AG9" i="1"/>
  <c r="AF9" i="1"/>
  <c r="AO8" i="1"/>
  <c r="AG8" i="1"/>
  <c r="AF8" i="1" l="1"/>
  <c r="AE24" i="1"/>
  <c r="AP14" i="1"/>
  <c r="AD24" i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K9" i="1"/>
  <c r="AJ9" i="1"/>
  <c r="AJ10" i="1" s="1"/>
  <c r="AJ12" i="1" s="1"/>
  <c r="AJ13" i="1" s="1"/>
  <c r="AE26" i="1"/>
  <c r="AE27" i="1" s="1"/>
  <c r="AE17" i="1"/>
  <c r="AN9" i="1"/>
  <c r="AI9" i="1"/>
  <c r="AI10" i="1" s="1"/>
  <c r="AI12" i="1" s="1"/>
  <c r="AI13" i="1" s="1"/>
  <c r="AM9" i="1"/>
  <c r="AL8" i="1"/>
  <c r="AL10" i="1" s="1"/>
  <c r="AL12" i="1" s="1"/>
  <c r="AL13" i="1" s="1"/>
  <c r="AK8" i="1"/>
  <c r="AK10" i="1" s="1"/>
  <c r="AK12" i="1" s="1"/>
  <c r="AK13" i="1" s="1"/>
  <c r="AO10" i="1"/>
  <c r="AO12" i="1" s="1"/>
  <c r="AO13" i="1" s="1"/>
  <c r="AG10" i="1"/>
  <c r="AG12" i="1" s="1"/>
  <c r="AG13" i="1" s="1"/>
  <c r="AN8" i="1"/>
  <c r="AM8" i="1"/>
  <c r="AF10" i="1"/>
  <c r="AF12" i="1" s="1"/>
  <c r="AF13" i="1" s="1"/>
  <c r="AH10" i="1"/>
  <c r="AH12" i="1" s="1"/>
  <c r="AH13" i="1" s="1"/>
  <c r="AD28" i="1" l="1"/>
  <c r="AE28" i="1"/>
  <c r="AJ15" i="1"/>
  <c r="AF15" i="1"/>
  <c r="AK15" i="1"/>
  <c r="AL15" i="1"/>
  <c r="AH15" i="1"/>
  <c r="AI15" i="1"/>
  <c r="AM10" i="1"/>
  <c r="AM12" i="1" s="1"/>
  <c r="AM13" i="1" s="1"/>
  <c r="AN10" i="1"/>
  <c r="AN12" i="1" s="1"/>
  <c r="AN13" i="1" s="1"/>
  <c r="AO15" i="1"/>
  <c r="AG15" i="1"/>
  <c r="AI16" i="1" l="1"/>
  <c r="AI17" i="1" s="1"/>
  <c r="AI26" i="1"/>
  <c r="AH16" i="1"/>
  <c r="AH17" i="1" s="1"/>
  <c r="AH26" i="1"/>
  <c r="AL16" i="1"/>
  <c r="AL17" i="1" s="1"/>
  <c r="AL26" i="1"/>
  <c r="AG16" i="1"/>
  <c r="AG17" i="1" s="1"/>
  <c r="AG26" i="1"/>
  <c r="AK16" i="1"/>
  <c r="AK17" i="1" s="1"/>
  <c r="AK26" i="1"/>
  <c r="AO16" i="1"/>
  <c r="AO17" i="1" s="1"/>
  <c r="AO26" i="1"/>
  <c r="AJ16" i="1"/>
  <c r="AJ17" i="1" s="1"/>
  <c r="AJ26" i="1"/>
  <c r="AM15" i="1"/>
  <c r="AF16" i="1"/>
  <c r="AF17" i="1" s="1"/>
  <c r="AF26" i="1"/>
  <c r="AF27" i="1" s="1"/>
  <c r="AF28" i="1" s="1"/>
  <c r="AN15" i="1"/>
  <c r="AG27" i="1" l="1"/>
  <c r="AM16" i="1"/>
  <c r="AM17" i="1" s="1"/>
  <c r="AM26" i="1"/>
  <c r="AN16" i="1"/>
  <c r="AN17" i="1" s="1"/>
  <c r="AN26" i="1"/>
  <c r="AH27" i="1"/>
  <c r="AG28" i="1"/>
  <c r="AP15" i="1"/>
  <c r="AP17" i="1" l="1"/>
  <c r="AI27" i="1"/>
  <c r="AH28" i="1"/>
  <c r="AJ27" i="1" l="1"/>
  <c r="AI28" i="1"/>
  <c r="AK27" i="1" l="1"/>
  <c r="AJ28" i="1"/>
  <c r="AK28" i="1" l="1"/>
  <c r="AL27" i="1"/>
  <c r="AL28" i="1" l="1"/>
  <c r="AM27" i="1"/>
  <c r="AN27" i="1" l="1"/>
  <c r="AM28" i="1"/>
  <c r="AO27" i="1" l="1"/>
  <c r="AO28" i="1" s="1"/>
  <c r="AN28" i="1"/>
</calcChain>
</file>

<file path=xl/sharedStrings.xml><?xml version="1.0" encoding="utf-8"?>
<sst xmlns="http://schemas.openxmlformats.org/spreadsheetml/2006/main" count="72" uniqueCount="60">
  <si>
    <t>чд</t>
  </si>
  <si>
    <t>а</t>
  </si>
  <si>
    <t>i</t>
  </si>
  <si>
    <t>Показатели</t>
  </si>
  <si>
    <t>1 год</t>
  </si>
  <si>
    <t>2 год</t>
  </si>
  <si>
    <t>3 год</t>
  </si>
  <si>
    <t>1 кв.</t>
  </si>
  <si>
    <t>2 кв.</t>
  </si>
  <si>
    <t>3 кв.</t>
  </si>
  <si>
    <t>4 кв.</t>
  </si>
  <si>
    <t>т. р.</t>
  </si>
  <si>
    <t>куб. м/кв.</t>
  </si>
  <si>
    <t xml:space="preserve">Цена единицы продукции, </t>
  </si>
  <si>
    <t>т. р./куб. м</t>
  </si>
  <si>
    <t>т. р./куб. м.</t>
  </si>
  <si>
    <t>приток средств</t>
  </si>
  <si>
    <t xml:space="preserve">Инвестиции.  </t>
  </si>
  <si>
    <t xml:space="preserve">Мощность.  </t>
  </si>
  <si>
    <t xml:space="preserve">Цена единицы продукции. </t>
  </si>
  <si>
    <t>Переменные затраты на единицу продукции.</t>
  </si>
  <si>
    <t>Постоянные расходы. т. р.</t>
  </si>
  <si>
    <t>в том числе. амортизация</t>
  </si>
  <si>
    <t>отток средств</t>
  </si>
  <si>
    <t>налогооблогаемая прибыль</t>
  </si>
  <si>
    <t xml:space="preserve">налог </t>
  </si>
  <si>
    <t>чистая прибыль</t>
  </si>
  <si>
    <t>чистый поток</t>
  </si>
  <si>
    <t>Фн</t>
  </si>
  <si>
    <t>Ф0</t>
  </si>
  <si>
    <t>чдд</t>
  </si>
  <si>
    <t>k (норма дисконта)</t>
  </si>
  <si>
    <t>Факторы</t>
  </si>
  <si>
    <t>Значение ЧДД при изменении фактора</t>
  </si>
  <si>
    <t>Базовое значение ЧДД, т. р.</t>
  </si>
  <si>
    <t>ЧДД,  т. р.</t>
  </si>
  <si>
    <t>ЧДД, в % к базовому значению</t>
  </si>
  <si>
    <t>ЧДД, т. р.</t>
  </si>
  <si>
    <t>Объем производства, куб. м/кв.</t>
  </si>
  <si>
    <t>Постоянные затраты, т. р.</t>
  </si>
  <si>
    <t>Налог, %</t>
  </si>
  <si>
    <t>Ставка дисконта</t>
  </si>
  <si>
    <t>Дисконтированный денежный инвестиций</t>
  </si>
  <si>
    <t>Дисконтированный денежный инвестиций сум</t>
  </si>
  <si>
    <t>операцион</t>
  </si>
  <si>
    <t>операцион сум</t>
  </si>
  <si>
    <t>Показатель</t>
  </si>
  <si>
    <r>
      <t>Оптимистический сценарий</t>
    </r>
    <r>
      <rPr>
        <sz val="12"/>
        <color rgb="FF000000"/>
        <rFont val="Times New Roman"/>
        <family val="1"/>
        <charset val="204"/>
      </rPr>
      <t> </t>
    </r>
  </si>
  <si>
    <r>
      <t>Консервативный сценарий</t>
    </r>
    <r>
      <rPr>
        <sz val="12"/>
        <color rgb="FF000000"/>
        <rFont val="Times New Roman"/>
        <family val="1"/>
        <charset val="204"/>
      </rPr>
      <t> </t>
    </r>
  </si>
  <si>
    <r>
      <t>Пессимистический сценарий</t>
    </r>
    <r>
      <rPr>
        <sz val="12"/>
        <color rgb="FF000000"/>
        <rFont val="Times New Roman"/>
        <family val="1"/>
        <charset val="204"/>
      </rPr>
      <t> </t>
    </r>
  </si>
  <si>
    <r>
      <t>Смешанный сценарий</t>
    </r>
    <r>
      <rPr>
        <sz val="12"/>
        <color rgb="FF000000"/>
        <rFont val="Times New Roman"/>
        <family val="1"/>
        <charset val="204"/>
      </rPr>
      <t> </t>
    </r>
  </si>
  <si>
    <t>Инвестиции, т. р.</t>
  </si>
  <si>
    <t xml:space="preserve">Пост. затраты, </t>
  </si>
  <si>
    <t>т. р./кв.</t>
  </si>
  <si>
    <t>в т. ч. амортизация</t>
  </si>
  <si>
    <t xml:space="preserve">Объем пр-ва, </t>
  </si>
  <si>
    <t>Цена единицы продукции, т. р.</t>
  </si>
  <si>
    <t xml:space="preserve">Перем. затраты, </t>
  </si>
  <si>
    <t>т. р./куб м</t>
  </si>
  <si>
    <t>ИДИ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</si>
</sst>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2" borderId="0" xfId="0" applyFill="1"/>
    <xf numFmtId="0" fontId="6" fillId="0" borderId="5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2" borderId="0" xfId="0" applyFont="1" applyFill="1"/>
    <xf numFmtId="0" fontId="6" fillId="0" borderId="1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2" fontId="5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3" borderId="0" xfId="0" applyFill="1"/>
    <xf numFmtId="0" fontId="0" fillId="0" borderId="0" xfId="0" applyFill="1"/>
    <xf numFmtId="0" fontId="0" fillId="4" borderId="0" xfId="0" applyFill="1"/>
    <xf numFmtId="0" fontId="2" fillId="0" borderId="8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17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9E7A-D48F-4F3B-BCB0-EFD74B846EE9}">
  <dimension ref="M2:AW42"/>
  <sheetViews>
    <sheetView tabSelected="1" topLeftCell="AA28" zoomScale="114" workbookViewId="0">
      <selection activeCell="AD36" sqref="AD36"/>
    </sheetView>
  </sheetViews>
  <sheetFormatPr defaultRowHeight="14.4" x14ac:dyDescent="0.3"/>
  <cols>
    <col min="13" max="13" width="14.109375" customWidth="1"/>
    <col min="19" max="19" width="10.44140625" bestFit="1" customWidth="1"/>
    <col min="29" max="29" width="43.33203125" bestFit="1" customWidth="1"/>
    <col min="30" max="30" width="17.33203125" customWidth="1"/>
    <col min="42" max="42" width="19.109375" customWidth="1"/>
    <col min="45" max="45" width="12.21875" bestFit="1" customWidth="1"/>
    <col min="46" max="46" width="12.6640625" bestFit="1" customWidth="1"/>
    <col min="48" max="48" width="12.6640625" bestFit="1" customWidth="1"/>
    <col min="49" max="49" width="31" customWidth="1"/>
  </cols>
  <sheetData>
    <row r="2" spans="13:49" ht="15" thickBot="1" x14ac:dyDescent="0.35"/>
    <row r="3" spans="13:49" ht="16.2" customHeight="1" thickBot="1" x14ac:dyDescent="0.35">
      <c r="P3" s="30" t="s">
        <v>3</v>
      </c>
      <c r="Q3" s="32" t="s">
        <v>4</v>
      </c>
      <c r="R3" s="33"/>
      <c r="S3" s="33"/>
      <c r="T3" s="34"/>
      <c r="U3" s="32" t="s">
        <v>5</v>
      </c>
      <c r="V3" s="33"/>
      <c r="W3" s="33"/>
      <c r="X3" s="34"/>
      <c r="Y3" s="32" t="s">
        <v>6</v>
      </c>
      <c r="Z3" s="33"/>
      <c r="AA3" s="33"/>
      <c r="AB3" s="34"/>
    </row>
    <row r="4" spans="13:49" ht="15" thickBot="1" x14ac:dyDescent="0.35">
      <c r="P4" s="31"/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7</v>
      </c>
      <c r="Z4" s="1" t="s">
        <v>8</v>
      </c>
      <c r="AA4" s="1" t="s">
        <v>9</v>
      </c>
      <c r="AB4" s="1" t="s">
        <v>10</v>
      </c>
    </row>
    <row r="5" spans="13:49" ht="27.6" x14ac:dyDescent="0.3">
      <c r="N5">
        <v>55000</v>
      </c>
      <c r="P5" s="2" t="s">
        <v>17</v>
      </c>
      <c r="Q5" s="35">
        <f>$N$5*1</f>
        <v>55000</v>
      </c>
      <c r="R5" s="35">
        <f>$N$5*1</f>
        <v>55000</v>
      </c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3:49" ht="15" thickBot="1" x14ac:dyDescent="0.35">
      <c r="P6" s="3" t="s">
        <v>11</v>
      </c>
      <c r="Q6" s="36"/>
      <c r="R6" s="36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3:49" ht="28.2" thickBot="1" x14ac:dyDescent="0.35">
      <c r="P7" s="2" t="s">
        <v>18</v>
      </c>
      <c r="Q7" s="26"/>
      <c r="R7" s="26"/>
      <c r="S7" s="28">
        <f>$N8*0.9</f>
        <v>16875</v>
      </c>
      <c r="T7" s="28">
        <f t="shared" ref="T7:AB7" si="0">$N8*0.9</f>
        <v>16875</v>
      </c>
      <c r="U7" s="28">
        <f t="shared" si="0"/>
        <v>16875</v>
      </c>
      <c r="V7" s="28">
        <f t="shared" si="0"/>
        <v>16875</v>
      </c>
      <c r="W7" s="28">
        <f t="shared" si="0"/>
        <v>16875</v>
      </c>
      <c r="X7" s="28">
        <f t="shared" si="0"/>
        <v>16875</v>
      </c>
      <c r="Y7" s="28">
        <f t="shared" si="0"/>
        <v>16875</v>
      </c>
      <c r="Z7" s="28">
        <f t="shared" si="0"/>
        <v>16875</v>
      </c>
      <c r="AA7" s="28">
        <f t="shared" si="0"/>
        <v>16875</v>
      </c>
      <c r="AB7" s="28">
        <f t="shared" si="0"/>
        <v>16875</v>
      </c>
    </row>
    <row r="8" spans="13:49" ht="28.2" thickBot="1" x14ac:dyDescent="0.35">
      <c r="N8">
        <v>18750</v>
      </c>
      <c r="P8" s="3" t="s">
        <v>12</v>
      </c>
      <c r="Q8" s="27"/>
      <c r="R8" s="27"/>
      <c r="S8" s="29"/>
      <c r="T8" s="29"/>
      <c r="U8" s="29"/>
      <c r="V8" s="29"/>
      <c r="W8" s="29"/>
      <c r="X8" s="29"/>
      <c r="Y8" s="29"/>
      <c r="Z8" s="29"/>
      <c r="AA8" s="29"/>
      <c r="AB8" s="29"/>
      <c r="AC8" t="s">
        <v>16</v>
      </c>
      <c r="AF8">
        <f t="shared" ref="AF8:AO8" si="1">S7*S9</f>
        <v>61256.25</v>
      </c>
      <c r="AG8">
        <f t="shared" si="1"/>
        <v>61256.25</v>
      </c>
      <c r="AH8">
        <f t="shared" si="1"/>
        <v>61256.25</v>
      </c>
      <c r="AI8">
        <f t="shared" si="1"/>
        <v>61256.25</v>
      </c>
      <c r="AJ8">
        <f t="shared" si="1"/>
        <v>61256.25</v>
      </c>
      <c r="AK8">
        <f t="shared" si="1"/>
        <v>61256.25</v>
      </c>
      <c r="AL8">
        <f t="shared" si="1"/>
        <v>61256.25</v>
      </c>
      <c r="AM8">
        <f t="shared" si="1"/>
        <v>61256.25</v>
      </c>
      <c r="AN8">
        <f t="shared" si="1"/>
        <v>61256.25</v>
      </c>
      <c r="AO8">
        <f t="shared" si="1"/>
        <v>61256.25</v>
      </c>
      <c r="AR8" s="14" t="s">
        <v>32</v>
      </c>
      <c r="AS8" s="17" t="s">
        <v>33</v>
      </c>
      <c r="AT8" s="18"/>
      <c r="AU8" s="18"/>
      <c r="AV8" s="18"/>
      <c r="AW8" s="19"/>
    </row>
    <row r="9" spans="13:49" ht="55.8" thickBot="1" x14ac:dyDescent="0.35">
      <c r="P9" s="2" t="s">
        <v>19</v>
      </c>
      <c r="Q9" s="26"/>
      <c r="R9" s="26"/>
      <c r="S9" s="28">
        <f>$M$10*1.1</f>
        <v>3.63</v>
      </c>
      <c r="T9" s="28">
        <f t="shared" ref="T9:AB9" si="2">$M$10*1.1</f>
        <v>3.63</v>
      </c>
      <c r="U9" s="28">
        <f t="shared" si="2"/>
        <v>3.63</v>
      </c>
      <c r="V9" s="28">
        <f t="shared" si="2"/>
        <v>3.63</v>
      </c>
      <c r="W9" s="28">
        <f t="shared" si="2"/>
        <v>3.63</v>
      </c>
      <c r="X9" s="28">
        <f t="shared" si="2"/>
        <v>3.63</v>
      </c>
      <c r="Y9" s="28">
        <f t="shared" si="2"/>
        <v>3.63</v>
      </c>
      <c r="Z9" s="28">
        <f t="shared" si="2"/>
        <v>3.63</v>
      </c>
      <c r="AA9" s="28">
        <f t="shared" si="2"/>
        <v>3.63</v>
      </c>
      <c r="AB9" s="28">
        <f t="shared" si="2"/>
        <v>3.63</v>
      </c>
      <c r="AC9" t="s">
        <v>23</v>
      </c>
      <c r="AF9">
        <f t="shared" ref="AF9:AO9" si="3">S11*S7+S13</f>
        <v>42968.75</v>
      </c>
      <c r="AG9">
        <f t="shared" si="3"/>
        <v>42968.75</v>
      </c>
      <c r="AH9">
        <f t="shared" si="3"/>
        <v>42968.75</v>
      </c>
      <c r="AI9">
        <f t="shared" si="3"/>
        <v>42968.75</v>
      </c>
      <c r="AJ9">
        <f t="shared" si="3"/>
        <v>42968.75</v>
      </c>
      <c r="AK9">
        <f t="shared" si="3"/>
        <v>42968.75</v>
      </c>
      <c r="AL9">
        <f t="shared" si="3"/>
        <v>42968.75</v>
      </c>
      <c r="AM9">
        <f t="shared" si="3"/>
        <v>42968.75</v>
      </c>
      <c r="AN9">
        <f t="shared" si="3"/>
        <v>42968.75</v>
      </c>
      <c r="AO9">
        <f t="shared" si="3"/>
        <v>42968.75</v>
      </c>
      <c r="AR9" s="15"/>
      <c r="AS9" s="20">
        <v>-0.1</v>
      </c>
      <c r="AT9" s="21"/>
      <c r="AU9" s="22" t="s">
        <v>34</v>
      </c>
      <c r="AV9" s="20">
        <v>0.1</v>
      </c>
      <c r="AW9" s="21"/>
    </row>
    <row r="10" spans="13:49" ht="94.2" customHeight="1" thickBot="1" x14ac:dyDescent="0.35">
      <c r="M10">
        <v>3.3</v>
      </c>
      <c r="P10" s="3" t="s">
        <v>14</v>
      </c>
      <c r="Q10" s="27"/>
      <c r="R10" s="27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t="s">
        <v>24</v>
      </c>
      <c r="AF10">
        <f>AF8-AF9</f>
        <v>18287.5</v>
      </c>
      <c r="AG10">
        <f t="shared" ref="AG10:AO10" si="4">AG8-AG9</f>
        <v>18287.5</v>
      </c>
      <c r="AH10">
        <f t="shared" si="4"/>
        <v>18287.5</v>
      </c>
      <c r="AI10">
        <f t="shared" si="4"/>
        <v>18287.5</v>
      </c>
      <c r="AJ10">
        <f t="shared" si="4"/>
        <v>18287.5</v>
      </c>
      <c r="AK10">
        <f t="shared" si="4"/>
        <v>18287.5</v>
      </c>
      <c r="AL10">
        <f t="shared" si="4"/>
        <v>18287.5</v>
      </c>
      <c r="AM10">
        <f t="shared" si="4"/>
        <v>18287.5</v>
      </c>
      <c r="AN10">
        <f t="shared" si="4"/>
        <v>18287.5</v>
      </c>
      <c r="AO10">
        <f t="shared" si="4"/>
        <v>18287.5</v>
      </c>
      <c r="AR10" s="16"/>
      <c r="AS10" s="8" t="s">
        <v>35</v>
      </c>
      <c r="AT10" s="8" t="s">
        <v>36</v>
      </c>
      <c r="AU10" s="23"/>
      <c r="AV10" s="8" t="s">
        <v>37</v>
      </c>
      <c r="AW10" s="8" t="s">
        <v>36</v>
      </c>
    </row>
    <row r="11" spans="13:49" ht="96.6" x14ac:dyDescent="0.3">
      <c r="P11" s="2" t="s">
        <v>20</v>
      </c>
      <c r="Q11" s="26"/>
      <c r="R11" s="26"/>
      <c r="S11" s="35">
        <f>$M$12*1.1</f>
        <v>2.09</v>
      </c>
      <c r="T11" s="35">
        <f t="shared" ref="T11:AB11" si="5">$M$12*1.1</f>
        <v>2.09</v>
      </c>
      <c r="U11" s="35">
        <f t="shared" si="5"/>
        <v>2.09</v>
      </c>
      <c r="V11" s="35">
        <f t="shared" si="5"/>
        <v>2.09</v>
      </c>
      <c r="W11" s="35">
        <f t="shared" si="5"/>
        <v>2.09</v>
      </c>
      <c r="X11" s="35">
        <f t="shared" si="5"/>
        <v>2.09</v>
      </c>
      <c r="Y11" s="35">
        <f t="shared" si="5"/>
        <v>2.09</v>
      </c>
      <c r="Z11" s="35">
        <f t="shared" si="5"/>
        <v>2.09</v>
      </c>
      <c r="AA11" s="35">
        <f t="shared" si="5"/>
        <v>2.09</v>
      </c>
      <c r="AB11" s="35">
        <f t="shared" si="5"/>
        <v>2.09</v>
      </c>
      <c r="AC11" t="s">
        <v>25</v>
      </c>
      <c r="AF11">
        <f>$AP11*1</f>
        <v>0.28000000000000003</v>
      </c>
      <c r="AG11">
        <f t="shared" ref="AG11:AO11" si="6">$AP11*1</f>
        <v>0.28000000000000003</v>
      </c>
      <c r="AH11">
        <f t="shared" si="6"/>
        <v>0.28000000000000003</v>
      </c>
      <c r="AI11">
        <f t="shared" si="6"/>
        <v>0.28000000000000003</v>
      </c>
      <c r="AJ11">
        <f t="shared" si="6"/>
        <v>0.28000000000000003</v>
      </c>
      <c r="AK11">
        <f t="shared" si="6"/>
        <v>0.28000000000000003</v>
      </c>
      <c r="AL11">
        <f t="shared" si="6"/>
        <v>0.28000000000000003</v>
      </c>
      <c r="AM11">
        <f t="shared" si="6"/>
        <v>0.28000000000000003</v>
      </c>
      <c r="AN11">
        <f t="shared" si="6"/>
        <v>0.28000000000000003</v>
      </c>
      <c r="AO11">
        <f t="shared" si="6"/>
        <v>0.28000000000000003</v>
      </c>
      <c r="AP11">
        <v>0.28000000000000003</v>
      </c>
      <c r="AR11" s="9" t="s">
        <v>13</v>
      </c>
      <c r="AS11" s="24">
        <v>-13324.438260000001</v>
      </c>
      <c r="AT11" s="24">
        <f>AS11/AU11</f>
        <v>-0.66345200089625811</v>
      </c>
      <c r="AU11" s="24">
        <v>20083.5</v>
      </c>
      <c r="AV11" s="24">
        <v>53491.465389999998</v>
      </c>
      <c r="AW11" s="24">
        <f>AV11/AU11</f>
        <v>2.663453351756417</v>
      </c>
    </row>
    <row r="12" spans="13:49" ht="28.2" thickBot="1" x14ac:dyDescent="0.35">
      <c r="M12">
        <v>1.9</v>
      </c>
      <c r="P12" s="3" t="s">
        <v>15</v>
      </c>
      <c r="Q12" s="27"/>
      <c r="R12" s="27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t="s">
        <v>26</v>
      </c>
      <c r="AF12">
        <f>AF10-(AF10*AF11)</f>
        <v>13167</v>
      </c>
      <c r="AG12">
        <f t="shared" ref="AG12:AO12" si="7">AG10-(AG10*AG11)</f>
        <v>13167</v>
      </c>
      <c r="AH12">
        <f t="shared" si="7"/>
        <v>13167</v>
      </c>
      <c r="AI12">
        <f t="shared" si="7"/>
        <v>13167</v>
      </c>
      <c r="AJ12">
        <f t="shared" si="7"/>
        <v>13167</v>
      </c>
      <c r="AK12">
        <f t="shared" si="7"/>
        <v>13167</v>
      </c>
      <c r="AL12">
        <f t="shared" si="7"/>
        <v>13167</v>
      </c>
      <c r="AM12">
        <f t="shared" si="7"/>
        <v>13167</v>
      </c>
      <c r="AN12">
        <f t="shared" si="7"/>
        <v>13167</v>
      </c>
      <c r="AO12">
        <f t="shared" si="7"/>
        <v>13167</v>
      </c>
      <c r="AR12" s="10" t="s">
        <v>11</v>
      </c>
      <c r="AS12" s="25"/>
      <c r="AT12" s="25"/>
      <c r="AU12" s="25"/>
      <c r="AV12" s="25"/>
      <c r="AW12" s="25"/>
    </row>
    <row r="13" spans="13:49" ht="78.599999999999994" thickBot="1" x14ac:dyDescent="0.35">
      <c r="M13">
        <v>7700</v>
      </c>
      <c r="P13" s="3" t="s">
        <v>21</v>
      </c>
      <c r="Q13" s="4"/>
      <c r="R13" s="4"/>
      <c r="S13" s="5">
        <f>$M13*1</f>
        <v>7700</v>
      </c>
      <c r="T13" s="5">
        <f t="shared" ref="T13:AB13" si="8">$M13*1</f>
        <v>7700</v>
      </c>
      <c r="U13" s="5">
        <f t="shared" si="8"/>
        <v>7700</v>
      </c>
      <c r="V13" s="5">
        <f t="shared" si="8"/>
        <v>7700</v>
      </c>
      <c r="W13" s="5">
        <f t="shared" si="8"/>
        <v>7700</v>
      </c>
      <c r="X13" s="5">
        <f t="shared" si="8"/>
        <v>7700</v>
      </c>
      <c r="Y13" s="5">
        <f t="shared" si="8"/>
        <v>7700</v>
      </c>
      <c r="Z13" s="5">
        <f t="shared" si="8"/>
        <v>7700</v>
      </c>
      <c r="AA13" s="5">
        <f t="shared" si="8"/>
        <v>7700</v>
      </c>
      <c r="AB13" s="5">
        <f t="shared" si="8"/>
        <v>7700</v>
      </c>
      <c r="AC13" s="38" t="s">
        <v>27</v>
      </c>
      <c r="AD13" s="38"/>
      <c r="AE13" s="38"/>
      <c r="AF13" s="38">
        <f t="shared" ref="AF13:AO13" si="9">AF12+S14</f>
        <v>16604.5</v>
      </c>
      <c r="AG13" s="38">
        <f t="shared" si="9"/>
        <v>16604.5</v>
      </c>
      <c r="AH13" s="38">
        <f t="shared" si="9"/>
        <v>16604.5</v>
      </c>
      <c r="AI13" s="38">
        <f t="shared" si="9"/>
        <v>16604.5</v>
      </c>
      <c r="AJ13" s="38">
        <f t="shared" si="9"/>
        <v>16604.5</v>
      </c>
      <c r="AK13" s="38">
        <f t="shared" si="9"/>
        <v>16604.5</v>
      </c>
      <c r="AL13" s="38">
        <f t="shared" si="9"/>
        <v>16604.5</v>
      </c>
      <c r="AM13" s="38">
        <f t="shared" si="9"/>
        <v>16604.5</v>
      </c>
      <c r="AN13" s="38">
        <f t="shared" si="9"/>
        <v>16604.5</v>
      </c>
      <c r="AO13" s="38">
        <f t="shared" si="9"/>
        <v>16604.5</v>
      </c>
      <c r="AR13" s="10" t="s">
        <v>38</v>
      </c>
      <c r="AS13" s="11">
        <v>5910.44</v>
      </c>
      <c r="AT13" s="11">
        <f>AS13/AU13</f>
        <v>0.29429332536659447</v>
      </c>
      <c r="AU13" s="11">
        <v>20083.5</v>
      </c>
      <c r="AV13" s="11">
        <v>34256.6</v>
      </c>
      <c r="AW13" s="11">
        <f>AV13/AU13</f>
        <v>1.7057086663181218</v>
      </c>
    </row>
    <row r="14" spans="13:49" ht="63" thickBot="1" x14ac:dyDescent="0.35">
      <c r="M14">
        <v>3437.5</v>
      </c>
      <c r="P14" s="3" t="s">
        <v>22</v>
      </c>
      <c r="Q14" s="4"/>
      <c r="R14" s="4"/>
      <c r="S14" s="5">
        <f>$M$14*1</f>
        <v>3437.5</v>
      </c>
      <c r="T14" s="5">
        <f t="shared" ref="T14:AB14" si="10">$M$14*1</f>
        <v>3437.5</v>
      </c>
      <c r="U14" s="5">
        <f t="shared" si="10"/>
        <v>3437.5</v>
      </c>
      <c r="V14" s="5">
        <f t="shared" si="10"/>
        <v>3437.5</v>
      </c>
      <c r="W14" s="5">
        <f t="shared" si="10"/>
        <v>3437.5</v>
      </c>
      <c r="X14" s="5">
        <f t="shared" si="10"/>
        <v>3437.5</v>
      </c>
      <c r="Y14" s="5">
        <f t="shared" si="10"/>
        <v>3437.5</v>
      </c>
      <c r="Z14" s="5">
        <f t="shared" si="10"/>
        <v>3437.5</v>
      </c>
      <c r="AA14" s="5">
        <f t="shared" si="10"/>
        <v>3437.5</v>
      </c>
      <c r="AB14" s="5">
        <f t="shared" si="10"/>
        <v>3437.5</v>
      </c>
      <c r="AC14" s="37" t="s">
        <v>28</v>
      </c>
      <c r="AD14" s="37">
        <f>-Q5</f>
        <v>-55000</v>
      </c>
      <c r="AE14" s="37">
        <f>-R5</f>
        <v>-55000</v>
      </c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>
        <f>AD14+AE14</f>
        <v>-110000</v>
      </c>
      <c r="AR14" s="10" t="s">
        <v>39</v>
      </c>
      <c r="AS14" s="8">
        <v>24240.9</v>
      </c>
      <c r="AT14" s="8">
        <f>AS14/AU14</f>
        <v>1.2070057509896184</v>
      </c>
      <c r="AU14" s="8">
        <v>20083.5</v>
      </c>
      <c r="AV14" s="8">
        <v>15926.1</v>
      </c>
      <c r="AW14" s="8">
        <f>AV14/AU14</f>
        <v>0.79299424901038162</v>
      </c>
    </row>
    <row r="15" spans="13:49" ht="31.8" thickBot="1" x14ac:dyDescent="0.35">
      <c r="AC15" s="37" t="s">
        <v>29</v>
      </c>
      <c r="AD15" s="37"/>
      <c r="AE15" s="37"/>
      <c r="AF15" s="37">
        <f>AF8-(S11*S7+S13)-((AF10)*AF11)+S14</f>
        <v>16604.5</v>
      </c>
      <c r="AG15" s="37">
        <f t="shared" ref="AG15:AO15" si="11">AG8-(T11*T7+T13)-((AG10)*AG11)+T14</f>
        <v>16604.5</v>
      </c>
      <c r="AH15" s="37">
        <f t="shared" si="11"/>
        <v>16604.5</v>
      </c>
      <c r="AI15" s="37">
        <f t="shared" si="11"/>
        <v>16604.5</v>
      </c>
      <c r="AJ15" s="37">
        <f t="shared" si="11"/>
        <v>16604.5</v>
      </c>
      <c r="AK15" s="37">
        <f t="shared" si="11"/>
        <v>16604.5</v>
      </c>
      <c r="AL15" s="37">
        <f t="shared" si="11"/>
        <v>16604.5</v>
      </c>
      <c r="AM15" s="37">
        <f t="shared" si="11"/>
        <v>16604.5</v>
      </c>
      <c r="AN15" s="37">
        <f t="shared" si="11"/>
        <v>16604.5</v>
      </c>
      <c r="AO15" s="37">
        <f t="shared" si="11"/>
        <v>16604.5</v>
      </c>
      <c r="AP15">
        <f>SUM(AF15:AO15)</f>
        <v>166045</v>
      </c>
      <c r="AR15" s="10" t="s">
        <v>40</v>
      </c>
      <c r="AS15" s="8">
        <v>36957.199999999997</v>
      </c>
      <c r="AT15" s="8">
        <f>AS15/AU15</f>
        <v>1.8401772599397515</v>
      </c>
      <c r="AU15" s="8">
        <v>20083.5</v>
      </c>
      <c r="AV15" s="8">
        <v>16188.5</v>
      </c>
      <c r="AW15" s="8">
        <f>AV15/AU15</f>
        <v>0.80605970074937139</v>
      </c>
    </row>
    <row r="16" spans="13:49" ht="47.4" thickBot="1" x14ac:dyDescent="0.35">
      <c r="AC16" t="s">
        <v>0</v>
      </c>
      <c r="AD16">
        <f>AD14</f>
        <v>-55000</v>
      </c>
      <c r="AE16">
        <f>AE14</f>
        <v>-55000</v>
      </c>
      <c r="AF16">
        <f t="shared" ref="AF16:AO16" si="12">AF14+AF15</f>
        <v>16604.5</v>
      </c>
      <c r="AG16">
        <f t="shared" si="12"/>
        <v>16604.5</v>
      </c>
      <c r="AH16">
        <f t="shared" si="12"/>
        <v>16604.5</v>
      </c>
      <c r="AI16">
        <f t="shared" si="12"/>
        <v>16604.5</v>
      </c>
      <c r="AJ16">
        <f t="shared" si="12"/>
        <v>16604.5</v>
      </c>
      <c r="AK16">
        <f t="shared" si="12"/>
        <v>16604.5</v>
      </c>
      <c r="AL16">
        <f t="shared" si="12"/>
        <v>16604.5</v>
      </c>
      <c r="AM16">
        <f t="shared" si="12"/>
        <v>16604.5</v>
      </c>
      <c r="AN16">
        <f t="shared" si="12"/>
        <v>16604.5</v>
      </c>
      <c r="AO16">
        <f t="shared" si="12"/>
        <v>16604.5</v>
      </c>
      <c r="AR16" s="10" t="s">
        <v>41</v>
      </c>
      <c r="AS16" s="8">
        <v>23229.7</v>
      </c>
      <c r="AT16" s="8">
        <f>AS16/AU16</f>
        <v>1.1566559613613165</v>
      </c>
      <c r="AU16" s="8">
        <v>20083.5</v>
      </c>
      <c r="AV16" s="8">
        <v>17057.5</v>
      </c>
      <c r="AW16" s="8">
        <f>AV16/AU16</f>
        <v>0.84932905121119329</v>
      </c>
    </row>
    <row r="17" spans="29:44" x14ac:dyDescent="0.3">
      <c r="AC17" s="7" t="s">
        <v>30</v>
      </c>
      <c r="AD17" s="7">
        <f>AD16*AD18</f>
        <v>-55000</v>
      </c>
      <c r="AE17" s="7">
        <f t="shared" ref="AE17:AO17" si="13">AE16*AE18</f>
        <v>-50850.591715976327</v>
      </c>
      <c r="AF17" s="7">
        <f t="shared" si="13"/>
        <v>14761.340037551206</v>
      </c>
      <c r="AG17" s="7">
        <f t="shared" si="13"/>
        <v>14193.596189953081</v>
      </c>
      <c r="AH17" s="7">
        <f t="shared" si="13"/>
        <v>13647.688644185653</v>
      </c>
      <c r="AI17" s="7">
        <f t="shared" si="13"/>
        <v>13122.777542486205</v>
      </c>
      <c r="AJ17" s="7">
        <f t="shared" si="13"/>
        <v>12618.05532931366</v>
      </c>
      <c r="AK17" s="7">
        <f t="shared" si="13"/>
        <v>12132.745508955441</v>
      </c>
      <c r="AL17" s="7">
        <f t="shared" si="13"/>
        <v>11666.10145091869</v>
      </c>
      <c r="AM17" s="7">
        <f t="shared" si="13"/>
        <v>11217.405241267972</v>
      </c>
      <c r="AN17" s="7">
        <f t="shared" si="13"/>
        <v>10785.966578142283</v>
      </c>
      <c r="AO17" s="7">
        <f t="shared" si="13"/>
        <v>10371.121709752191</v>
      </c>
      <c r="AP17" s="13">
        <f>SUM(AD17:AO17)</f>
        <v>18666.206516550061</v>
      </c>
    </row>
    <row r="18" spans="29:44" x14ac:dyDescent="0.3">
      <c r="AC18" s="37" t="s">
        <v>1</v>
      </c>
      <c r="AD18" s="37">
        <v>1</v>
      </c>
      <c r="AE18" s="46">
        <f t="shared" ref="AE18:AO18" si="14">1/(1+AE19)^AE20</f>
        <v>0.92455621301775137</v>
      </c>
      <c r="AF18" s="46">
        <f t="shared" si="14"/>
        <v>0.88899635867091487</v>
      </c>
      <c r="AG18" s="37">
        <f t="shared" si="14"/>
        <v>0.85480419102972571</v>
      </c>
      <c r="AH18" s="37">
        <f t="shared" si="14"/>
        <v>0.82192710675935154</v>
      </c>
      <c r="AI18" s="37">
        <f t="shared" si="14"/>
        <v>0.79031452573014571</v>
      </c>
      <c r="AJ18" s="37">
        <f t="shared" si="14"/>
        <v>0.75991781320206331</v>
      </c>
      <c r="AK18" s="37">
        <f t="shared" si="14"/>
        <v>0.73069020500198378</v>
      </c>
      <c r="AL18" s="37">
        <f t="shared" si="14"/>
        <v>0.70258673557883045</v>
      </c>
      <c r="AM18" s="37">
        <f t="shared" si="14"/>
        <v>0.67556416882579851</v>
      </c>
      <c r="AN18" s="37">
        <f t="shared" si="14"/>
        <v>0.6495809315632679</v>
      </c>
      <c r="AO18" s="37">
        <f t="shared" si="14"/>
        <v>0.62459704958006512</v>
      </c>
    </row>
    <row r="19" spans="29:44" x14ac:dyDescent="0.3">
      <c r="AC19" t="s">
        <v>31</v>
      </c>
      <c r="AD19">
        <f>$AP19*1</f>
        <v>0.04</v>
      </c>
      <c r="AE19">
        <f t="shared" ref="AE19:AO19" si="15">$AP19*1</f>
        <v>0.04</v>
      </c>
      <c r="AF19">
        <f t="shared" si="15"/>
        <v>0.04</v>
      </c>
      <c r="AG19">
        <f t="shared" si="15"/>
        <v>0.04</v>
      </c>
      <c r="AH19">
        <f t="shared" si="15"/>
        <v>0.04</v>
      </c>
      <c r="AI19">
        <f t="shared" si="15"/>
        <v>0.04</v>
      </c>
      <c r="AJ19">
        <f t="shared" si="15"/>
        <v>0.04</v>
      </c>
      <c r="AK19">
        <f t="shared" si="15"/>
        <v>0.04</v>
      </c>
      <c r="AL19">
        <f t="shared" si="15"/>
        <v>0.04</v>
      </c>
      <c r="AM19">
        <f t="shared" si="15"/>
        <v>0.04</v>
      </c>
      <c r="AN19">
        <f t="shared" si="15"/>
        <v>0.04</v>
      </c>
      <c r="AO19">
        <f t="shared" si="15"/>
        <v>0.04</v>
      </c>
      <c r="AP19">
        <v>0.04</v>
      </c>
    </row>
    <row r="20" spans="29:44" x14ac:dyDescent="0.3">
      <c r="AC20" t="s">
        <v>2</v>
      </c>
      <c r="AD20">
        <v>1</v>
      </c>
      <c r="AE20">
        <v>2</v>
      </c>
      <c r="AF20">
        <v>3</v>
      </c>
      <c r="AG20">
        <v>4</v>
      </c>
      <c r="AH20">
        <v>5</v>
      </c>
      <c r="AI20">
        <v>6</v>
      </c>
      <c r="AJ20">
        <v>7</v>
      </c>
      <c r="AK20">
        <v>8</v>
      </c>
      <c r="AL20">
        <v>9</v>
      </c>
      <c r="AM20">
        <v>10</v>
      </c>
      <c r="AN20">
        <v>11</v>
      </c>
      <c r="AO20">
        <v>12</v>
      </c>
      <c r="AR20">
        <f>AO18</f>
        <v>0.62459704958006512</v>
      </c>
    </row>
    <row r="22" spans="29:44" x14ac:dyDescent="0.3"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</row>
    <row r="24" spans="29:44" x14ac:dyDescent="0.3">
      <c r="AC24" t="s">
        <v>42</v>
      </c>
      <c r="AD24">
        <f>AD14*AD18</f>
        <v>-55000</v>
      </c>
      <c r="AE24">
        <f t="shared" ref="AE24:AO24" si="16">AE14*AE18</f>
        <v>-50850.591715976327</v>
      </c>
      <c r="AF24">
        <f t="shared" si="16"/>
        <v>0</v>
      </c>
      <c r="AG24">
        <f t="shared" si="16"/>
        <v>0</v>
      </c>
      <c r="AH24">
        <f t="shared" si="16"/>
        <v>0</v>
      </c>
      <c r="AI24">
        <f t="shared" si="16"/>
        <v>0</v>
      </c>
      <c r="AJ24">
        <f t="shared" si="16"/>
        <v>0</v>
      </c>
      <c r="AK24">
        <f t="shared" si="16"/>
        <v>0</v>
      </c>
      <c r="AL24">
        <f t="shared" si="16"/>
        <v>0</v>
      </c>
      <c r="AM24">
        <f t="shared" si="16"/>
        <v>0</v>
      </c>
      <c r="AN24">
        <f t="shared" si="16"/>
        <v>0</v>
      </c>
      <c r="AO24">
        <f t="shared" si="16"/>
        <v>0</v>
      </c>
    </row>
    <row r="25" spans="29:44" x14ac:dyDescent="0.3">
      <c r="AC25" s="44" t="s">
        <v>43</v>
      </c>
      <c r="AD25" s="44">
        <f>AD24</f>
        <v>-55000</v>
      </c>
      <c r="AE25" s="44">
        <f>AD25+AE24</f>
        <v>-105850.59171597633</v>
      </c>
      <c r="AF25" s="44">
        <f t="shared" ref="AF25:AO25" si="17">AE25+AF24</f>
        <v>-105850.59171597633</v>
      </c>
      <c r="AG25" s="44">
        <f t="shared" si="17"/>
        <v>-105850.59171597633</v>
      </c>
      <c r="AH25" s="44">
        <f t="shared" si="17"/>
        <v>-105850.59171597633</v>
      </c>
      <c r="AI25" s="44">
        <f t="shared" si="17"/>
        <v>-105850.59171597633</v>
      </c>
      <c r="AJ25" s="44">
        <f t="shared" si="17"/>
        <v>-105850.59171597633</v>
      </c>
      <c r="AK25" s="44">
        <f t="shared" si="17"/>
        <v>-105850.59171597633</v>
      </c>
      <c r="AL25" s="44">
        <f t="shared" si="17"/>
        <v>-105850.59171597633</v>
      </c>
      <c r="AM25" s="44">
        <f t="shared" si="17"/>
        <v>-105850.59171597633</v>
      </c>
      <c r="AN25" s="44">
        <f t="shared" si="17"/>
        <v>-105850.59171597633</v>
      </c>
      <c r="AO25" s="44">
        <f t="shared" si="17"/>
        <v>-105850.59171597633</v>
      </c>
    </row>
    <row r="26" spans="29:44" x14ac:dyDescent="0.3">
      <c r="AC26" t="s">
        <v>44</v>
      </c>
      <c r="AD26">
        <f>AD15*AD18</f>
        <v>0</v>
      </c>
      <c r="AE26">
        <f t="shared" ref="AE26:AO26" si="18">AE15*AE18</f>
        <v>0</v>
      </c>
      <c r="AF26">
        <f t="shared" si="18"/>
        <v>14761.340037551206</v>
      </c>
      <c r="AG26">
        <f t="shared" si="18"/>
        <v>14193.596189953081</v>
      </c>
      <c r="AH26">
        <f t="shared" si="18"/>
        <v>13647.688644185653</v>
      </c>
      <c r="AI26">
        <f t="shared" si="18"/>
        <v>13122.777542486205</v>
      </c>
      <c r="AJ26">
        <f t="shared" si="18"/>
        <v>12618.05532931366</v>
      </c>
      <c r="AK26">
        <f t="shared" si="18"/>
        <v>12132.745508955441</v>
      </c>
      <c r="AL26">
        <f t="shared" si="18"/>
        <v>11666.10145091869</v>
      </c>
      <c r="AM26">
        <f t="shared" si="18"/>
        <v>11217.405241267972</v>
      </c>
      <c r="AN26">
        <f t="shared" si="18"/>
        <v>10785.966578142283</v>
      </c>
      <c r="AO26">
        <f t="shared" si="18"/>
        <v>10371.121709752191</v>
      </c>
    </row>
    <row r="27" spans="29:44" x14ac:dyDescent="0.3">
      <c r="AC27" s="44" t="s">
        <v>45</v>
      </c>
      <c r="AD27" s="44">
        <f>AD26</f>
        <v>0</v>
      </c>
      <c r="AE27" s="44">
        <f>AD27+AE26</f>
        <v>0</v>
      </c>
      <c r="AF27" s="44">
        <f t="shared" ref="AF27:AO27" si="19">AE27+AF26</f>
        <v>14761.340037551206</v>
      </c>
      <c r="AG27" s="44">
        <f t="shared" si="19"/>
        <v>28954.936227504288</v>
      </c>
      <c r="AH27" s="44">
        <f t="shared" si="19"/>
        <v>42602.624871689943</v>
      </c>
      <c r="AI27" s="44">
        <f t="shared" si="19"/>
        <v>55725.402414176147</v>
      </c>
      <c r="AJ27" s="44">
        <f t="shared" si="19"/>
        <v>68343.457743489809</v>
      </c>
      <c r="AK27" s="44">
        <f t="shared" si="19"/>
        <v>80476.203252445252</v>
      </c>
      <c r="AL27" s="44">
        <f t="shared" si="19"/>
        <v>92142.304703363945</v>
      </c>
      <c r="AM27" s="44">
        <f t="shared" si="19"/>
        <v>103359.70994463192</v>
      </c>
      <c r="AN27" s="44">
        <f t="shared" si="19"/>
        <v>114145.6765227742</v>
      </c>
      <c r="AO27" s="44">
        <f t="shared" si="19"/>
        <v>124516.79823252639</v>
      </c>
    </row>
    <row r="28" spans="29:44" x14ac:dyDescent="0.3">
      <c r="AC28" t="s">
        <v>59</v>
      </c>
      <c r="AD28">
        <f>AD27/AD25</f>
        <v>0</v>
      </c>
      <c r="AE28">
        <f t="shared" ref="AE28:AO28" si="20">AE27/AE25</f>
        <v>0</v>
      </c>
      <c r="AF28">
        <f t="shared" si="20"/>
        <v>-0.13945448767220481</v>
      </c>
      <c r="AG28">
        <f t="shared" si="20"/>
        <v>-0.27354534120317098</v>
      </c>
      <c r="AH28">
        <f t="shared" si="20"/>
        <v>-0.40247885421371532</v>
      </c>
      <c r="AI28">
        <f t="shared" si="20"/>
        <v>-0.52645338595462332</v>
      </c>
      <c r="AJ28">
        <f t="shared" si="20"/>
        <v>-0.64565966647472728</v>
      </c>
      <c r="AK28">
        <f t="shared" si="20"/>
        <v>-0.76028109005175026</v>
      </c>
      <c r="AL28">
        <f t="shared" si="20"/>
        <v>-0.87049399733734922</v>
      </c>
      <c r="AM28">
        <f t="shared" si="20"/>
        <v>-0.97646794665042524</v>
      </c>
      <c r="AN28">
        <f t="shared" si="20"/>
        <v>-1.0783659748360752</v>
      </c>
      <c r="AO28" s="45">
        <f>ABS(AO27/AO25)</f>
        <v>1.1763448480915077</v>
      </c>
    </row>
    <row r="31" spans="29:44" ht="15" thickBot="1" x14ac:dyDescent="0.35"/>
    <row r="32" spans="29:44" ht="78.599999999999994" thickBot="1" x14ac:dyDescent="0.35">
      <c r="AC32" s="40" t="s">
        <v>46</v>
      </c>
      <c r="AD32" s="41" t="s">
        <v>47</v>
      </c>
      <c r="AE32" s="41" t="s">
        <v>48</v>
      </c>
      <c r="AF32" s="41" t="s">
        <v>49</v>
      </c>
      <c r="AG32" s="41" t="s">
        <v>50</v>
      </c>
    </row>
    <row r="33" spans="29:33" ht="16.2" thickBot="1" x14ac:dyDescent="0.35">
      <c r="AC33" s="6" t="s">
        <v>51</v>
      </c>
      <c r="AD33" s="42">
        <v>-99000</v>
      </c>
      <c r="AE33" s="42">
        <v>-110000</v>
      </c>
      <c r="AF33" s="42">
        <v>-121000</v>
      </c>
      <c r="AG33" s="42">
        <v>-110000</v>
      </c>
    </row>
    <row r="34" spans="29:33" x14ac:dyDescent="0.3">
      <c r="AC34" s="2" t="s">
        <v>52</v>
      </c>
      <c r="AD34" s="24">
        <v>6930</v>
      </c>
      <c r="AE34" s="24">
        <v>7700</v>
      </c>
      <c r="AF34" s="24">
        <v>8470</v>
      </c>
      <c r="AG34" s="24">
        <v>7700</v>
      </c>
    </row>
    <row r="35" spans="29:33" ht="15" thickBot="1" x14ac:dyDescent="0.35">
      <c r="AC35" s="12" t="s">
        <v>53</v>
      </c>
      <c r="AD35" s="25"/>
      <c r="AE35" s="25"/>
      <c r="AF35" s="25"/>
      <c r="AG35" s="25"/>
    </row>
    <row r="36" spans="29:33" ht="16.2" thickBot="1" x14ac:dyDescent="0.35">
      <c r="AC36" s="6" t="s">
        <v>54</v>
      </c>
      <c r="AD36" s="43">
        <v>3093.75</v>
      </c>
      <c r="AE36" s="43">
        <v>3437.5</v>
      </c>
      <c r="AF36" s="43">
        <v>3781.25</v>
      </c>
      <c r="AG36" s="43">
        <v>3437.5</v>
      </c>
    </row>
    <row r="37" spans="29:33" x14ac:dyDescent="0.3">
      <c r="AC37" s="2" t="s">
        <v>55</v>
      </c>
      <c r="AD37" s="24">
        <v>18750</v>
      </c>
      <c r="AE37" s="24">
        <v>18750</v>
      </c>
      <c r="AF37" s="24">
        <v>18750</v>
      </c>
      <c r="AG37" s="24">
        <v>16875</v>
      </c>
    </row>
    <row r="38" spans="29:33" ht="15" thickBot="1" x14ac:dyDescent="0.35">
      <c r="AC38" s="12" t="s">
        <v>12</v>
      </c>
      <c r="AD38" s="25"/>
      <c r="AE38" s="25"/>
      <c r="AF38" s="25"/>
      <c r="AG38" s="25"/>
    </row>
    <row r="39" spans="29:33" ht="15" thickBot="1" x14ac:dyDescent="0.35">
      <c r="AC39" s="12" t="s">
        <v>56</v>
      </c>
      <c r="AD39" s="42">
        <v>3.3</v>
      </c>
      <c r="AE39" s="42">
        <v>3.3</v>
      </c>
      <c r="AF39" s="42">
        <v>3.3</v>
      </c>
      <c r="AG39" s="42">
        <v>3.63</v>
      </c>
    </row>
    <row r="40" spans="29:33" x14ac:dyDescent="0.3">
      <c r="AC40" s="2" t="s">
        <v>57</v>
      </c>
      <c r="AD40" s="24">
        <v>1.9</v>
      </c>
      <c r="AE40" s="24">
        <v>1.9</v>
      </c>
      <c r="AF40" s="24">
        <v>1.9</v>
      </c>
      <c r="AG40" s="24">
        <v>2.09</v>
      </c>
    </row>
    <row r="41" spans="29:33" ht="15" thickBot="1" x14ac:dyDescent="0.35">
      <c r="AC41" s="12" t="s">
        <v>58</v>
      </c>
      <c r="AD41" s="25"/>
      <c r="AE41" s="25"/>
      <c r="AF41" s="25"/>
      <c r="AG41" s="25"/>
    </row>
    <row r="42" spans="29:33" ht="15" thickBot="1" x14ac:dyDescent="0.35">
      <c r="AC42" s="12" t="s">
        <v>59</v>
      </c>
      <c r="AD42" s="42">
        <v>1.3385100000000001</v>
      </c>
      <c r="AE42" s="42">
        <v>1.18973</v>
      </c>
      <c r="AF42" s="42">
        <v>1.0680099999999999</v>
      </c>
      <c r="AG42" s="42">
        <v>1.1763399999999999</v>
      </c>
    </row>
  </sheetData>
  <mergeCells count="74">
    <mergeCell ref="AD40:AD41"/>
    <mergeCell ref="AE40:AE41"/>
    <mergeCell ref="AF40:AF41"/>
    <mergeCell ref="AG40:AG41"/>
    <mergeCell ref="AD34:AD35"/>
    <mergeCell ref="AE34:AE35"/>
    <mergeCell ref="AF34:AF35"/>
    <mergeCell ref="AG34:AG35"/>
    <mergeCell ref="AD37:AD38"/>
    <mergeCell ref="AE37:AE38"/>
    <mergeCell ref="AF37:AF38"/>
    <mergeCell ref="AG37:AG38"/>
    <mergeCell ref="AB11:AB12"/>
    <mergeCell ref="R11:R12"/>
    <mergeCell ref="S11:S12"/>
    <mergeCell ref="T11:T12"/>
    <mergeCell ref="U11:U12"/>
    <mergeCell ref="V11:V12"/>
    <mergeCell ref="W11:W12"/>
    <mergeCell ref="AB5:AB6"/>
    <mergeCell ref="P3:P4"/>
    <mergeCell ref="Q3:T3"/>
    <mergeCell ref="U3:X3"/>
    <mergeCell ref="Y3:AB3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7:AB8"/>
    <mergeCell ref="Q9:Q10"/>
    <mergeCell ref="R7:R8"/>
    <mergeCell ref="S7:S8"/>
    <mergeCell ref="T7:T8"/>
    <mergeCell ref="U7:U8"/>
    <mergeCell ref="V7:V8"/>
    <mergeCell ref="W7:W8"/>
    <mergeCell ref="X9:X10"/>
    <mergeCell ref="Y9:Y10"/>
    <mergeCell ref="Z9:Z10"/>
    <mergeCell ref="AA9:AA10"/>
    <mergeCell ref="AB9:AB10"/>
    <mergeCell ref="Q7:Q8"/>
    <mergeCell ref="R9:R10"/>
    <mergeCell ref="S9:S10"/>
    <mergeCell ref="Q11:Q12"/>
    <mergeCell ref="X7:X8"/>
    <mergeCell ref="Y7:Y8"/>
    <mergeCell ref="Z7:Z8"/>
    <mergeCell ref="AA7:AA8"/>
    <mergeCell ref="X11:X12"/>
    <mergeCell ref="Y11:Y12"/>
    <mergeCell ref="Z11:Z12"/>
    <mergeCell ref="AA11:AA12"/>
    <mergeCell ref="T9:T10"/>
    <mergeCell ref="U9:U10"/>
    <mergeCell ref="V9:V10"/>
    <mergeCell ref="W9:W10"/>
    <mergeCell ref="AU11:AU12"/>
    <mergeCell ref="AW11:AW12"/>
    <mergeCell ref="AV11:AV12"/>
    <mergeCell ref="AT11:AT12"/>
    <mergeCell ref="AS11:AS12"/>
    <mergeCell ref="AR8:AR10"/>
    <mergeCell ref="AS8:AW8"/>
    <mergeCell ref="AS9:AT9"/>
    <mergeCell ref="AU9:AU10"/>
    <mergeCell ref="AV9:AW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Акукамбеков</dc:creator>
  <cp:lastModifiedBy>Владислав Акукамбеков</cp:lastModifiedBy>
  <dcterms:created xsi:type="dcterms:W3CDTF">2025-12-01T11:17:30Z</dcterms:created>
  <dcterms:modified xsi:type="dcterms:W3CDTF">2025-12-08T21:27:28Z</dcterms:modified>
</cp:coreProperties>
</file>
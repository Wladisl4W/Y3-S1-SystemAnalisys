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isl4W\Desktop\"/>
    </mc:Choice>
  </mc:AlternateContent>
  <xr:revisionPtr revIDLastSave="0" documentId="13_ncr:1_{05115D89-277F-425D-AC69-6AA593F76EF1}" xr6:coauthVersionLast="47" xr6:coauthVersionMax="47" xr10:uidLastSave="{00000000-0000-0000-0000-000000000000}"/>
  <bookViews>
    <workbookView xWindow="-108" yWindow="-108" windowWidth="23256" windowHeight="12456" xr2:uid="{7B332B6A-5DA5-49CF-865A-BC1388EA9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1" i="1" l="1" a="1"/>
  <c r="M51" i="1" s="1"/>
  <c r="K52" i="1"/>
  <c r="K53" i="1"/>
  <c r="K54" i="1"/>
  <c r="K55" i="1"/>
  <c r="K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I51" i="1"/>
  <c r="H51" i="1"/>
  <c r="G51" i="1"/>
  <c r="F51" i="1"/>
  <c r="E52" i="1"/>
  <c r="E53" i="1"/>
  <c r="E54" i="1"/>
  <c r="E55" i="1"/>
  <c r="E51" i="1"/>
  <c r="K47" i="1"/>
  <c r="L47" i="1" s="1"/>
  <c r="K46" i="1"/>
  <c r="L46" i="1" s="1"/>
  <c r="K45" i="1"/>
  <c r="L45" i="1" s="1"/>
  <c r="L44" i="1"/>
  <c r="K44" i="1"/>
  <c r="K43" i="1"/>
  <c r="K48" i="1" s="1"/>
  <c r="K39" i="1"/>
  <c r="L39" i="1" s="1"/>
  <c r="K38" i="1"/>
  <c r="L38" i="1" s="1"/>
  <c r="K37" i="1"/>
  <c r="L37" i="1" s="1"/>
  <c r="L36" i="1"/>
  <c r="K36" i="1"/>
  <c r="K35" i="1"/>
  <c r="K40" i="1" s="1"/>
  <c r="K31" i="1"/>
  <c r="L31" i="1" s="1"/>
  <c r="K30" i="1"/>
  <c r="L30" i="1" s="1"/>
  <c r="K29" i="1"/>
  <c r="L29" i="1" s="1"/>
  <c r="L28" i="1"/>
  <c r="K28" i="1"/>
  <c r="K27" i="1"/>
  <c r="K32" i="1" s="1"/>
  <c r="K23" i="1"/>
  <c r="L23" i="1" s="1"/>
  <c r="K22" i="1"/>
  <c r="L22" i="1" s="1"/>
  <c r="K21" i="1"/>
  <c r="L21" i="1" s="1"/>
  <c r="L20" i="1"/>
  <c r="K20" i="1"/>
  <c r="K19" i="1"/>
  <c r="K24" i="1" s="1"/>
  <c r="K15" i="1"/>
  <c r="L15" i="1" s="1"/>
  <c r="K14" i="1"/>
  <c r="L14" i="1" s="1"/>
  <c r="K13" i="1"/>
  <c r="L13" i="1" s="1"/>
  <c r="L12" i="1"/>
  <c r="K12" i="1"/>
  <c r="K11" i="1"/>
  <c r="K16" i="1" s="1"/>
  <c r="J47" i="1"/>
  <c r="J46" i="1"/>
  <c r="J45" i="1"/>
  <c r="J44" i="1"/>
  <c r="J43" i="1"/>
  <c r="J48" i="1" s="1"/>
  <c r="J39" i="1"/>
  <c r="J38" i="1"/>
  <c r="J37" i="1"/>
  <c r="J36" i="1"/>
  <c r="J35" i="1"/>
  <c r="J40" i="1" s="1"/>
  <c r="J31" i="1"/>
  <c r="J30" i="1"/>
  <c r="J29" i="1"/>
  <c r="J28" i="1"/>
  <c r="J27" i="1"/>
  <c r="J32" i="1" s="1"/>
  <c r="J23" i="1"/>
  <c r="J22" i="1"/>
  <c r="J21" i="1"/>
  <c r="J20" i="1"/>
  <c r="J19" i="1"/>
  <c r="J24" i="1" s="1"/>
  <c r="J16" i="1"/>
  <c r="J15" i="1"/>
  <c r="J14" i="1"/>
  <c r="J13" i="1"/>
  <c r="J12" i="1"/>
  <c r="J11" i="1"/>
  <c r="H47" i="1"/>
  <c r="G47" i="1"/>
  <c r="F47" i="1"/>
  <c r="E47" i="1"/>
  <c r="G46" i="1"/>
  <c r="F46" i="1"/>
  <c r="E46" i="1"/>
  <c r="F45" i="1"/>
  <c r="E45" i="1"/>
  <c r="E44" i="1"/>
  <c r="I42" i="1"/>
  <c r="H42" i="1"/>
  <c r="G42" i="1"/>
  <c r="F42" i="1"/>
  <c r="E42" i="1"/>
  <c r="H39" i="1"/>
  <c r="G39" i="1"/>
  <c r="F39" i="1"/>
  <c r="E39" i="1"/>
  <c r="G38" i="1"/>
  <c r="F38" i="1"/>
  <c r="E38" i="1"/>
  <c r="F37" i="1"/>
  <c r="E37" i="1"/>
  <c r="E36" i="1"/>
  <c r="I34" i="1"/>
  <c r="H34" i="1"/>
  <c r="G34" i="1"/>
  <c r="F34" i="1"/>
  <c r="E34" i="1"/>
  <c r="H31" i="1"/>
  <c r="G31" i="1"/>
  <c r="F31" i="1"/>
  <c r="E31" i="1"/>
  <c r="G30" i="1"/>
  <c r="F30" i="1"/>
  <c r="E30" i="1"/>
  <c r="F29" i="1"/>
  <c r="E29" i="1"/>
  <c r="E28" i="1"/>
  <c r="I26" i="1"/>
  <c r="H26" i="1"/>
  <c r="G26" i="1"/>
  <c r="F26" i="1"/>
  <c r="E26" i="1"/>
  <c r="H23" i="1"/>
  <c r="G23" i="1"/>
  <c r="F23" i="1"/>
  <c r="E23" i="1"/>
  <c r="G22" i="1"/>
  <c r="F22" i="1"/>
  <c r="E22" i="1"/>
  <c r="F21" i="1"/>
  <c r="E21" i="1"/>
  <c r="E20" i="1"/>
  <c r="I18" i="1"/>
  <c r="H18" i="1"/>
  <c r="G18" i="1"/>
  <c r="F18" i="1"/>
  <c r="E18" i="1"/>
  <c r="H15" i="1"/>
  <c r="G15" i="1"/>
  <c r="G14" i="1"/>
  <c r="F15" i="1"/>
  <c r="F14" i="1"/>
  <c r="F13" i="1"/>
  <c r="E15" i="1"/>
  <c r="E14" i="1"/>
  <c r="E13" i="1"/>
  <c r="E12" i="1"/>
  <c r="L3" i="1"/>
  <c r="L4" i="1"/>
  <c r="L5" i="1"/>
  <c r="L6" i="1"/>
  <c r="L2" i="1"/>
  <c r="I10" i="1"/>
  <c r="H10" i="1"/>
  <c r="G10" i="1"/>
  <c r="F10" i="1"/>
  <c r="E10" i="1"/>
  <c r="J3" i="1"/>
  <c r="J4" i="1"/>
  <c r="J5" i="1"/>
  <c r="J6" i="1"/>
  <c r="J2" i="1"/>
  <c r="J7" i="1" s="1"/>
  <c r="K3" i="1" s="1"/>
  <c r="D6" i="1"/>
  <c r="D5" i="1"/>
  <c r="D4" i="1"/>
  <c r="D3" i="1"/>
  <c r="D2" i="1"/>
  <c r="L43" i="1" l="1"/>
  <c r="L35" i="1"/>
  <c r="L27" i="1"/>
  <c r="L19" i="1"/>
  <c r="L11" i="1"/>
  <c r="K6" i="1"/>
  <c r="K5" i="1"/>
  <c r="K4" i="1"/>
  <c r="K2" i="1"/>
  <c r="K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<sst xmlns="http://schemas.openxmlformats.org/spreadsheetml/2006/main" count="65" uniqueCount="15">
  <si>
    <t>iPhone 16</t>
  </si>
  <si>
    <t>iPhone 13 mini</t>
  </si>
  <si>
    <t>iPhone 17 Pro</t>
  </si>
  <si>
    <t>iPhone 17</t>
  </si>
  <si>
    <t>iPhone 16 Pro</t>
  </si>
  <si>
    <t>Критерии</t>
  </si>
  <si>
    <t>Цена</t>
  </si>
  <si>
    <t>Вес</t>
  </si>
  <si>
    <t>Батарея</t>
  </si>
  <si>
    <t>Производительность</t>
  </si>
  <si>
    <t>Камеры</t>
  </si>
  <si>
    <t>Экран</t>
  </si>
  <si>
    <t>Сргеом</t>
  </si>
  <si>
    <t>СР.НОРМ</t>
  </si>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</sst>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 applyFill="1"/>
    <xf numFmtId="0" fontId="0" fillId="4" borderId="0" xfId="0" applyFill="1"/>
    <xf numFmtId="0" fontId="0" fillId="0" borderId="0" xfId="0" applyFill="1"/>
    <xf numFmtId="2" fontId="0" fillId="2" borderId="0" xfId="0" applyNumberFormat="1" applyFill="1"/>
    <xf numFmtId="9" fontId="0" fillId="2" borderId="0" xfId="1" applyFont="1" applyFill="1"/>
    <xf numFmtId="0" fontId="0" fillId="5" borderId="0" xfId="0" applyFill="1"/>
    <xf numFmtId="9" fontId="0" fillId="0" borderId="0" xfId="1" applyFont="1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2D2C-086B-4555-9687-18CF11F1A14C}">
  <dimension ref="A1:M57"/>
  <sheetViews>
    <sheetView tabSelected="1" workbookViewId="0">
      <selection activeCell="F17" sqref="F17"/>
    </sheetView>
  </sheetViews>
  <sheetFormatPr defaultRowHeight="14.4" x14ac:dyDescent="0.3"/>
  <cols>
    <col min="1" max="1" width="16.33203125" bestFit="1" customWidth="1"/>
    <col min="4" max="4" width="19.33203125" bestFit="1" customWidth="1"/>
    <col min="5" max="5" width="17.5546875" customWidth="1"/>
    <col min="6" max="6" width="18.6640625" customWidth="1"/>
    <col min="7" max="7" width="20.77734375" customWidth="1"/>
    <col min="8" max="8" width="17.77734375" customWidth="1"/>
    <col min="9" max="9" width="18.77734375" customWidth="1"/>
    <col min="10" max="10" width="13.21875" customWidth="1"/>
  </cols>
  <sheetData>
    <row r="1" spans="1:12" x14ac:dyDescent="0.3">
      <c r="A1" t="s">
        <v>2</v>
      </c>
      <c r="D1" s="2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4" t="s">
        <v>12</v>
      </c>
      <c r="K1" s="4" t="s">
        <v>13</v>
      </c>
    </row>
    <row r="2" spans="1:12" x14ac:dyDescent="0.3">
      <c r="A2" t="s">
        <v>3</v>
      </c>
      <c r="D2" s="1" t="str">
        <f>E1</f>
        <v>Цена</v>
      </c>
      <c r="E2" s="3">
        <v>1</v>
      </c>
      <c r="F2" s="3">
        <v>0.2</v>
      </c>
      <c r="G2" s="3">
        <v>0.33333333333333331</v>
      </c>
      <c r="H2" s="3">
        <v>0.1111111111111111</v>
      </c>
      <c r="I2" s="3">
        <v>0.14285714285714285</v>
      </c>
      <c r="J2">
        <f>GEOMEAN(E2:I2)</f>
        <v>0.25404674702328517</v>
      </c>
      <c r="K2">
        <f>J2/$J$7</f>
        <v>3.3198180587793925E-2</v>
      </c>
      <c r="L2" s="7">
        <f>K2</f>
        <v>3.3198180587793925E-2</v>
      </c>
    </row>
    <row r="3" spans="1:12" x14ac:dyDescent="0.3">
      <c r="A3" t="s">
        <v>4</v>
      </c>
      <c r="D3" s="1" t="str">
        <f>F1</f>
        <v>Батарея</v>
      </c>
      <c r="E3" s="3">
        <v>5</v>
      </c>
      <c r="F3" s="3">
        <v>1</v>
      </c>
      <c r="G3" s="3">
        <v>3</v>
      </c>
      <c r="H3" s="3">
        <v>0.14285714285714285</v>
      </c>
      <c r="I3" s="3">
        <v>0.2</v>
      </c>
      <c r="J3">
        <f t="shared" ref="J3:J6" si="0">GEOMEAN(E3:I3)</f>
        <v>0.84412087984411011</v>
      </c>
      <c r="K3">
        <f t="shared" ref="K3:K6" si="1">J3/$J$7</f>
        <v>0.11030756242835785</v>
      </c>
      <c r="L3" s="7">
        <f t="shared" ref="L3:L6" si="2">K3</f>
        <v>0.11030756242835785</v>
      </c>
    </row>
    <row r="4" spans="1:12" x14ac:dyDescent="0.3">
      <c r="A4" t="s">
        <v>0</v>
      </c>
      <c r="D4" s="1" t="str">
        <f>G1</f>
        <v>Производительность</v>
      </c>
      <c r="E4" s="3">
        <v>3</v>
      </c>
      <c r="F4" s="3">
        <v>0.33333333333333331</v>
      </c>
      <c r="G4" s="3">
        <v>1</v>
      </c>
      <c r="H4" s="3">
        <v>0.2</v>
      </c>
      <c r="I4" s="3">
        <v>0.33333333333333331</v>
      </c>
      <c r="J4">
        <f t="shared" si="0"/>
        <v>0.5818107591526881</v>
      </c>
      <c r="K4">
        <f t="shared" si="1"/>
        <v>7.6029545257283115E-2</v>
      </c>
      <c r="L4" s="7">
        <f t="shared" si="2"/>
        <v>7.6029545257283115E-2</v>
      </c>
    </row>
    <row r="5" spans="1:12" x14ac:dyDescent="0.3">
      <c r="A5" t="s">
        <v>1</v>
      </c>
      <c r="D5" s="1" t="str">
        <f>H1</f>
        <v>Камеры</v>
      </c>
      <c r="E5" s="3">
        <v>9</v>
      </c>
      <c r="F5" s="3">
        <v>7</v>
      </c>
      <c r="G5" s="3">
        <v>5</v>
      </c>
      <c r="H5" s="3">
        <v>1</v>
      </c>
      <c r="I5" s="3">
        <v>3</v>
      </c>
      <c r="J5">
        <f t="shared" si="0"/>
        <v>3.9362834270353515</v>
      </c>
      <c r="K5">
        <f t="shared" si="1"/>
        <v>0.51438347306798005</v>
      </c>
      <c r="L5" s="7">
        <f t="shared" si="2"/>
        <v>0.51438347306798005</v>
      </c>
    </row>
    <row r="6" spans="1:12" x14ac:dyDescent="0.3">
      <c r="D6" s="1" t="str">
        <f>I1</f>
        <v>Экран</v>
      </c>
      <c r="E6" s="3">
        <v>7</v>
      </c>
      <c r="F6" s="3">
        <v>5</v>
      </c>
      <c r="G6" s="3">
        <v>3</v>
      </c>
      <c r="H6" s="3">
        <v>0.33333333333333331</v>
      </c>
      <c r="I6" s="6">
        <v>1</v>
      </c>
      <c r="J6">
        <f t="shared" si="0"/>
        <v>2.0361680046403978</v>
      </c>
      <c r="K6">
        <f t="shared" si="1"/>
        <v>0.26608123865858513</v>
      </c>
      <c r="L6" s="7">
        <f t="shared" si="2"/>
        <v>0.26608123865858513</v>
      </c>
    </row>
    <row r="7" spans="1:12" x14ac:dyDescent="0.3">
      <c r="J7" s="8">
        <f>SUM(J2:J6)</f>
        <v>7.6524298176958325</v>
      </c>
      <c r="K7" s="8">
        <f>SUM(K2:K6)</f>
        <v>1</v>
      </c>
    </row>
    <row r="10" spans="1:12" x14ac:dyDescent="0.3">
      <c r="D10" s="2" t="s">
        <v>6</v>
      </c>
      <c r="E10" s="1" t="str">
        <f>D11</f>
        <v>iPhone 17 Pro</v>
      </c>
      <c r="F10" s="1" t="str">
        <f>D12</f>
        <v>iPhone 17</v>
      </c>
      <c r="G10" s="1" t="str">
        <f>D13</f>
        <v>iPhone 16 Pro</v>
      </c>
      <c r="H10" s="1" t="str">
        <f>D14</f>
        <v>iPhone 16</v>
      </c>
      <c r="I10" s="1" t="str">
        <f>D15</f>
        <v>iPhone 13 mini</v>
      </c>
      <c r="J10" s="4" t="s">
        <v>12</v>
      </c>
      <c r="K10" s="4" t="s">
        <v>13</v>
      </c>
    </row>
    <row r="11" spans="1:12" x14ac:dyDescent="0.3">
      <c r="D11" s="1" t="s">
        <v>2</v>
      </c>
      <c r="E11" s="3">
        <v>1</v>
      </c>
      <c r="F11" s="3">
        <v>0.33333333333333331</v>
      </c>
      <c r="G11" s="3">
        <v>0.2</v>
      </c>
      <c r="H11" s="3">
        <v>0.14285714285714285</v>
      </c>
      <c r="I11" s="3">
        <v>0.1111111111111111</v>
      </c>
      <c r="J11">
        <f>GEOMEAN(E11:I11)</f>
        <v>0.25404674702328517</v>
      </c>
      <c r="K11">
        <f>J11/$J$7</f>
        <v>3.3198180587793925E-2</v>
      </c>
      <c r="L11" s="7">
        <f>K11</f>
        <v>3.3198180587793925E-2</v>
      </c>
    </row>
    <row r="12" spans="1:12" x14ac:dyDescent="0.3">
      <c r="D12" s="1" t="s">
        <v>3</v>
      </c>
      <c r="E12" s="3">
        <f>1/F11</f>
        <v>3</v>
      </c>
      <c r="F12" s="3">
        <v>1</v>
      </c>
      <c r="G12" s="3">
        <v>0.33333333333333331</v>
      </c>
      <c r="H12" s="3">
        <v>0.2</v>
      </c>
      <c r="I12" s="3">
        <v>0.14285714285714285</v>
      </c>
      <c r="J12">
        <f t="shared" ref="J12:J15" si="3">GEOMEAN(E12:I12)</f>
        <v>0.49111860991873663</v>
      </c>
      <c r="K12">
        <f t="shared" ref="K12:K15" si="4">J12/$J$7</f>
        <v>6.4178126636725397E-2</v>
      </c>
      <c r="L12" s="7">
        <f t="shared" ref="L12:L15" si="5">K12</f>
        <v>6.4178126636725397E-2</v>
      </c>
    </row>
    <row r="13" spans="1:12" x14ac:dyDescent="0.3">
      <c r="D13" s="1" t="s">
        <v>4</v>
      </c>
      <c r="E13" s="3">
        <f>1/G11</f>
        <v>5</v>
      </c>
      <c r="F13" s="3">
        <f>1/G12</f>
        <v>3</v>
      </c>
      <c r="G13" s="3">
        <v>1</v>
      </c>
      <c r="H13" s="3">
        <v>0.33333333333333331</v>
      </c>
      <c r="I13" s="3">
        <v>0.2</v>
      </c>
      <c r="J13">
        <f t="shared" si="3"/>
        <v>1</v>
      </c>
      <c r="K13">
        <f t="shared" si="4"/>
        <v>0.13067744805545994</v>
      </c>
      <c r="L13" s="7">
        <f t="shared" si="5"/>
        <v>0.13067744805545994</v>
      </c>
    </row>
    <row r="14" spans="1:12" x14ac:dyDescent="0.3">
      <c r="D14" s="1" t="s">
        <v>0</v>
      </c>
      <c r="E14" s="3">
        <f>1/H11</f>
        <v>7</v>
      </c>
      <c r="F14" s="3">
        <f>1/H12</f>
        <v>5</v>
      </c>
      <c r="G14" s="3">
        <f>1/H13</f>
        <v>3</v>
      </c>
      <c r="H14" s="3">
        <v>1</v>
      </c>
      <c r="I14" s="3">
        <v>0.33333333333333331</v>
      </c>
      <c r="J14">
        <f t="shared" si="3"/>
        <v>2.0361680046403978</v>
      </c>
      <c r="K14">
        <f t="shared" si="4"/>
        <v>0.26608123865858513</v>
      </c>
      <c r="L14" s="7">
        <f t="shared" si="5"/>
        <v>0.26608123865858513</v>
      </c>
    </row>
    <row r="15" spans="1:12" x14ac:dyDescent="0.3">
      <c r="D15" s="1" t="s">
        <v>1</v>
      </c>
      <c r="E15" s="3">
        <f>1/I11</f>
        <v>9</v>
      </c>
      <c r="F15" s="3">
        <f>1/I12</f>
        <v>7</v>
      </c>
      <c r="G15" s="3">
        <f>1/I13</f>
        <v>5</v>
      </c>
      <c r="H15" s="3">
        <f>1/I14</f>
        <v>3</v>
      </c>
      <c r="I15" s="6">
        <v>1</v>
      </c>
      <c r="J15">
        <f t="shared" si="3"/>
        <v>3.9362834270353515</v>
      </c>
      <c r="K15">
        <f t="shared" si="4"/>
        <v>0.51438347306798005</v>
      </c>
      <c r="L15" s="7">
        <f t="shared" si="5"/>
        <v>0.51438347306798005</v>
      </c>
    </row>
    <row r="16" spans="1:12" x14ac:dyDescent="0.3">
      <c r="J16" s="8">
        <f>SUM(J11:J15)</f>
        <v>7.7176167886177716</v>
      </c>
      <c r="K16" s="8">
        <f>SUM(K11:K15)</f>
        <v>1.0085184670065446</v>
      </c>
    </row>
    <row r="18" spans="4:12" x14ac:dyDescent="0.3">
      <c r="D18" s="2" t="s">
        <v>8</v>
      </c>
      <c r="E18" s="1" t="str">
        <f>D19</f>
        <v>iPhone 17 Pro</v>
      </c>
      <c r="F18" s="1" t="str">
        <f>D20</f>
        <v>iPhone 17</v>
      </c>
      <c r="G18" s="1" t="str">
        <f>D21</f>
        <v>iPhone 16 Pro</v>
      </c>
      <c r="H18" s="1" t="str">
        <f>D22</f>
        <v>iPhone 16</v>
      </c>
      <c r="I18" s="1" t="str">
        <f>D23</f>
        <v>iPhone 13 mini</v>
      </c>
      <c r="J18" s="4" t="s">
        <v>12</v>
      </c>
      <c r="K18" s="4" t="s">
        <v>13</v>
      </c>
    </row>
    <row r="19" spans="4:12" x14ac:dyDescent="0.3">
      <c r="D19" s="1" t="s">
        <v>2</v>
      </c>
      <c r="E19" s="3">
        <v>1</v>
      </c>
      <c r="F19" s="3">
        <v>5</v>
      </c>
      <c r="G19" s="3">
        <v>3</v>
      </c>
      <c r="H19" s="3">
        <v>7</v>
      </c>
      <c r="I19" s="3">
        <v>9</v>
      </c>
      <c r="J19">
        <f>GEOMEAN(E19:I19)</f>
        <v>3.9362834270353515</v>
      </c>
      <c r="K19">
        <f>J19/$J$7</f>
        <v>0.51438347306798005</v>
      </c>
      <c r="L19" s="7">
        <f>K19</f>
        <v>0.51438347306798005</v>
      </c>
    </row>
    <row r="20" spans="4:12" x14ac:dyDescent="0.3">
      <c r="D20" s="1" t="s">
        <v>3</v>
      </c>
      <c r="E20" s="3">
        <f>1/F19</f>
        <v>0.2</v>
      </c>
      <c r="F20" s="3">
        <v>1</v>
      </c>
      <c r="G20" s="3">
        <v>0.33333333333333331</v>
      </c>
      <c r="H20" s="3">
        <v>3</v>
      </c>
      <c r="I20" s="3">
        <v>7</v>
      </c>
      <c r="J20">
        <f t="shared" ref="J20:J23" si="6">GEOMEAN(E20:I20)</f>
        <v>1.0696103757250688</v>
      </c>
      <c r="K20">
        <f t="shared" ref="K20:K23" si="7">J20/$J$7</f>
        <v>0.13977395431339368</v>
      </c>
      <c r="L20" s="7">
        <f t="shared" ref="L20:L23" si="8">K20</f>
        <v>0.13977395431339368</v>
      </c>
    </row>
    <row r="21" spans="4:12" x14ac:dyDescent="0.3">
      <c r="D21" s="1" t="s">
        <v>4</v>
      </c>
      <c r="E21" s="3">
        <f>1/G19</f>
        <v>0.33333333333333331</v>
      </c>
      <c r="F21" s="3">
        <f>1/G20</f>
        <v>3</v>
      </c>
      <c r="G21" s="3">
        <v>1</v>
      </c>
      <c r="H21" s="3">
        <v>3</v>
      </c>
      <c r="I21" s="3">
        <v>9</v>
      </c>
      <c r="J21">
        <f t="shared" si="6"/>
        <v>1.9331820449317627</v>
      </c>
      <c r="K21">
        <f t="shared" si="7"/>
        <v>0.25262329625831825</v>
      </c>
      <c r="L21" s="7">
        <f t="shared" si="8"/>
        <v>0.25262329625831825</v>
      </c>
    </row>
    <row r="22" spans="4:12" x14ac:dyDescent="0.3">
      <c r="D22" s="1" t="s">
        <v>0</v>
      </c>
      <c r="E22" s="3">
        <f>1/H19</f>
        <v>0.14285714285714285</v>
      </c>
      <c r="F22" s="3">
        <f>1/H20</f>
        <v>0.33333333333333331</v>
      </c>
      <c r="G22" s="3">
        <f>1/H21</f>
        <v>0.33333333333333331</v>
      </c>
      <c r="H22" s="3">
        <v>1</v>
      </c>
      <c r="I22" s="3">
        <v>7</v>
      </c>
      <c r="J22">
        <f t="shared" si="6"/>
        <v>0.64439401497725424</v>
      </c>
      <c r="K22">
        <f t="shared" si="7"/>
        <v>8.4207765419439418E-2</v>
      </c>
      <c r="L22" s="7">
        <f t="shared" si="8"/>
        <v>8.4207765419439418E-2</v>
      </c>
    </row>
    <row r="23" spans="4:12" x14ac:dyDescent="0.3">
      <c r="D23" s="1" t="s">
        <v>1</v>
      </c>
      <c r="E23" s="3">
        <f>1/I19</f>
        <v>0.1111111111111111</v>
      </c>
      <c r="F23" s="3">
        <f>1/I20</f>
        <v>0.14285714285714285</v>
      </c>
      <c r="G23" s="3">
        <f>1/I21</f>
        <v>0.1111111111111111</v>
      </c>
      <c r="H23" s="3">
        <f>1/I22</f>
        <v>0.14285714285714285</v>
      </c>
      <c r="I23" s="6">
        <v>1</v>
      </c>
      <c r="J23">
        <f t="shared" si="6"/>
        <v>0.190661840137195</v>
      </c>
      <c r="K23">
        <f t="shared" si="7"/>
        <v>2.4915202710686708E-2</v>
      </c>
      <c r="L23" s="7">
        <f t="shared" si="8"/>
        <v>2.4915202710686708E-2</v>
      </c>
    </row>
    <row r="24" spans="4:12" x14ac:dyDescent="0.3">
      <c r="J24" s="8">
        <f>SUM(J19:J23)</f>
        <v>7.7741317028066321</v>
      </c>
      <c r="K24" s="8">
        <f>SUM(K19:K23)</f>
        <v>1.0159036917698181</v>
      </c>
    </row>
    <row r="26" spans="4:12" x14ac:dyDescent="0.3">
      <c r="D26" s="2" t="s">
        <v>9</v>
      </c>
      <c r="E26" s="1" t="str">
        <f>D27</f>
        <v>iPhone 17 Pro</v>
      </c>
      <c r="F26" s="1" t="str">
        <f>D28</f>
        <v>iPhone 17</v>
      </c>
      <c r="G26" s="1" t="str">
        <f>D29</f>
        <v>iPhone 16 Pro</v>
      </c>
      <c r="H26" s="1" t="str">
        <f>D30</f>
        <v>iPhone 16</v>
      </c>
      <c r="I26" s="1" t="str">
        <f>D31</f>
        <v>iPhone 13 mini</v>
      </c>
      <c r="J26" s="4" t="s">
        <v>12</v>
      </c>
      <c r="K26" s="4" t="s">
        <v>13</v>
      </c>
    </row>
    <row r="27" spans="4:12" x14ac:dyDescent="0.3">
      <c r="D27" s="1" t="s">
        <v>2</v>
      </c>
      <c r="E27" s="3">
        <v>1</v>
      </c>
      <c r="F27" s="3">
        <v>3</v>
      </c>
      <c r="G27" s="3">
        <v>5</v>
      </c>
      <c r="H27" s="3">
        <v>7</v>
      </c>
      <c r="I27" s="3">
        <v>9</v>
      </c>
      <c r="J27">
        <f>GEOMEAN(E27:I27)</f>
        <v>3.9362834270353515</v>
      </c>
      <c r="K27">
        <f>J27/$J$7</f>
        <v>0.51438347306798005</v>
      </c>
      <c r="L27" s="7">
        <f>K27</f>
        <v>0.51438347306798005</v>
      </c>
    </row>
    <row r="28" spans="4:12" x14ac:dyDescent="0.3">
      <c r="D28" s="1" t="s">
        <v>3</v>
      </c>
      <c r="E28" s="3">
        <f>1/F27</f>
        <v>0.33333333333333331</v>
      </c>
      <c r="F28" s="3">
        <v>1</v>
      </c>
      <c r="G28" s="3">
        <v>3</v>
      </c>
      <c r="H28" s="3">
        <v>5</v>
      </c>
      <c r="I28" s="3">
        <v>7</v>
      </c>
      <c r="J28">
        <f t="shared" ref="J28:J31" si="9">GEOMEAN(E28:I28)</f>
        <v>2.0361680046403978</v>
      </c>
      <c r="K28">
        <f t="shared" ref="K28:K31" si="10">J28/$J$7</f>
        <v>0.26608123865858513</v>
      </c>
      <c r="L28" s="7">
        <f t="shared" ref="L28:L31" si="11">K28</f>
        <v>0.26608123865858513</v>
      </c>
    </row>
    <row r="29" spans="4:12" x14ac:dyDescent="0.3">
      <c r="D29" s="1" t="s">
        <v>4</v>
      </c>
      <c r="E29" s="3">
        <f>1/G27</f>
        <v>0.2</v>
      </c>
      <c r="F29" s="3">
        <f>1/G28</f>
        <v>0.33333333333333331</v>
      </c>
      <c r="G29" s="3">
        <v>1</v>
      </c>
      <c r="H29" s="3">
        <v>3</v>
      </c>
      <c r="I29" s="3">
        <v>9</v>
      </c>
      <c r="J29">
        <f t="shared" si="9"/>
        <v>1.1247461131420948</v>
      </c>
      <c r="K29">
        <f t="shared" si="10"/>
        <v>0.14697895177570658</v>
      </c>
      <c r="L29" s="7">
        <f t="shared" si="11"/>
        <v>0.14697895177570658</v>
      </c>
    </row>
    <row r="30" spans="4:12" x14ac:dyDescent="0.3">
      <c r="D30" s="1" t="s">
        <v>0</v>
      </c>
      <c r="E30" s="3">
        <f>1/H27</f>
        <v>0.14285714285714285</v>
      </c>
      <c r="F30" s="3">
        <f>1/H28</f>
        <v>0.2</v>
      </c>
      <c r="G30" s="3">
        <f>1/H29</f>
        <v>0.33333333333333331</v>
      </c>
      <c r="H30" s="3">
        <v>1</v>
      </c>
      <c r="I30" s="3">
        <v>7</v>
      </c>
      <c r="J30">
        <f t="shared" si="9"/>
        <v>0.5818107591526881</v>
      </c>
      <c r="K30">
        <f t="shared" si="10"/>
        <v>7.6029545257283115E-2</v>
      </c>
      <c r="L30" s="7">
        <f t="shared" si="11"/>
        <v>7.6029545257283115E-2</v>
      </c>
    </row>
    <row r="31" spans="4:12" x14ac:dyDescent="0.3">
      <c r="D31" s="1" t="s">
        <v>1</v>
      </c>
      <c r="E31" s="3">
        <f>1/I27</f>
        <v>0.1111111111111111</v>
      </c>
      <c r="F31" s="3">
        <f>1/I28</f>
        <v>0.14285714285714285</v>
      </c>
      <c r="G31" s="3">
        <f>1/I29</f>
        <v>0.1111111111111111</v>
      </c>
      <c r="H31" s="3">
        <f>1/I30</f>
        <v>0.14285714285714285</v>
      </c>
      <c r="I31" s="6">
        <v>1</v>
      </c>
      <c r="J31">
        <f t="shared" si="9"/>
        <v>0.190661840137195</v>
      </c>
      <c r="K31">
        <f t="shared" si="10"/>
        <v>2.4915202710686708E-2</v>
      </c>
      <c r="L31" s="7">
        <f t="shared" si="11"/>
        <v>2.4915202710686708E-2</v>
      </c>
    </row>
    <row r="32" spans="4:12" x14ac:dyDescent="0.3">
      <c r="J32" s="8">
        <f>SUM(J27:J31)</f>
        <v>7.8696701441077268</v>
      </c>
      <c r="K32" s="8">
        <f>SUM(K27:K31)</f>
        <v>1.0283884114702417</v>
      </c>
    </row>
    <row r="34" spans="4:12" x14ac:dyDescent="0.3">
      <c r="D34" s="2" t="s">
        <v>10</v>
      </c>
      <c r="E34" s="1" t="str">
        <f>D35</f>
        <v>iPhone 17 Pro</v>
      </c>
      <c r="F34" s="1" t="str">
        <f>D36</f>
        <v>iPhone 17</v>
      </c>
      <c r="G34" s="1" t="str">
        <f>D37</f>
        <v>iPhone 16 Pro</v>
      </c>
      <c r="H34" s="1" t="str">
        <f>D38</f>
        <v>iPhone 16</v>
      </c>
      <c r="I34" s="1" t="str">
        <f>D39</f>
        <v>iPhone 13 mini</v>
      </c>
      <c r="J34" s="4" t="s">
        <v>12</v>
      </c>
      <c r="K34" s="4" t="s">
        <v>13</v>
      </c>
    </row>
    <row r="35" spans="4:12" x14ac:dyDescent="0.3">
      <c r="D35" s="1" t="s">
        <v>2</v>
      </c>
      <c r="E35" s="3">
        <v>1</v>
      </c>
      <c r="F35" s="3">
        <v>3</v>
      </c>
      <c r="G35" s="3">
        <v>3</v>
      </c>
      <c r="H35" s="3">
        <v>7</v>
      </c>
      <c r="I35" s="3">
        <v>9</v>
      </c>
      <c r="J35">
        <f>GEOMEAN(E35:I35)</f>
        <v>3.5539933576267324</v>
      </c>
      <c r="K35">
        <f>J35/$J$7</f>
        <v>0.464426782380717</v>
      </c>
      <c r="L35" s="7">
        <f>K35</f>
        <v>0.464426782380717</v>
      </c>
    </row>
    <row r="36" spans="4:12" x14ac:dyDescent="0.3">
      <c r="D36" s="1" t="s">
        <v>3</v>
      </c>
      <c r="E36" s="3">
        <f>1/F35</f>
        <v>0.33333333333333331</v>
      </c>
      <c r="F36" s="3">
        <v>1</v>
      </c>
      <c r="G36" s="3">
        <v>1</v>
      </c>
      <c r="H36" s="3">
        <v>3</v>
      </c>
      <c r="I36" s="3">
        <v>7</v>
      </c>
      <c r="J36">
        <f t="shared" ref="J36:J39" si="12">GEOMEAN(E36:I36)</f>
        <v>1.475773161594552</v>
      </c>
      <c r="K36">
        <f t="shared" ref="K36:K39" si="13">J36/$J$7</f>
        <v>0.19285027066591395</v>
      </c>
      <c r="L36" s="7">
        <f t="shared" ref="L36:L39" si="14">K36</f>
        <v>0.19285027066591395</v>
      </c>
    </row>
    <row r="37" spans="4:12" x14ac:dyDescent="0.3">
      <c r="D37" s="1" t="s">
        <v>4</v>
      </c>
      <c r="E37" s="3">
        <f>1/G35</f>
        <v>0.33333333333333331</v>
      </c>
      <c r="F37" s="3">
        <f>1/G36</f>
        <v>1</v>
      </c>
      <c r="G37" s="3">
        <v>1</v>
      </c>
      <c r="H37" s="3">
        <v>3</v>
      </c>
      <c r="I37" s="3">
        <v>9</v>
      </c>
      <c r="J37">
        <f t="shared" si="12"/>
        <v>1.5518455739153598</v>
      </c>
      <c r="K37">
        <f t="shared" si="13"/>
        <v>0.20279121937541986</v>
      </c>
      <c r="L37" s="7">
        <f t="shared" si="14"/>
        <v>0.20279121937541986</v>
      </c>
    </row>
    <row r="38" spans="4:12" x14ac:dyDescent="0.3">
      <c r="D38" s="1" t="s">
        <v>0</v>
      </c>
      <c r="E38" s="3">
        <f>1/H35</f>
        <v>0.14285714285714285</v>
      </c>
      <c r="F38" s="3">
        <f>1/H36</f>
        <v>0.33333333333333331</v>
      </c>
      <c r="G38" s="3">
        <f>1/H37</f>
        <v>0.33333333333333331</v>
      </c>
      <c r="H38" s="3">
        <v>1</v>
      </c>
      <c r="I38" s="3">
        <v>7</v>
      </c>
      <c r="J38">
        <f t="shared" si="12"/>
        <v>0.64439401497725424</v>
      </c>
      <c r="K38">
        <f t="shared" si="13"/>
        <v>8.4207765419439418E-2</v>
      </c>
      <c r="L38" s="7">
        <f t="shared" si="14"/>
        <v>8.4207765419439418E-2</v>
      </c>
    </row>
    <row r="39" spans="4:12" x14ac:dyDescent="0.3">
      <c r="D39" s="1" t="s">
        <v>1</v>
      </c>
      <c r="E39" s="3">
        <f>1/I35</f>
        <v>0.1111111111111111</v>
      </c>
      <c r="F39" s="3">
        <f>1/I36</f>
        <v>0.14285714285714285</v>
      </c>
      <c r="G39" s="3">
        <f>1/I37</f>
        <v>0.1111111111111111</v>
      </c>
      <c r="H39" s="3">
        <f>1/I38</f>
        <v>0.14285714285714285</v>
      </c>
      <c r="I39" s="6">
        <v>1</v>
      </c>
      <c r="J39">
        <f t="shared" si="12"/>
        <v>0.190661840137195</v>
      </c>
      <c r="K39">
        <f t="shared" si="13"/>
        <v>2.4915202710686708E-2</v>
      </c>
      <c r="L39" s="7">
        <f t="shared" si="14"/>
        <v>2.4915202710686708E-2</v>
      </c>
    </row>
    <row r="40" spans="4:12" x14ac:dyDescent="0.3">
      <c r="J40" s="8">
        <f>SUM(J35:J39)</f>
        <v>7.4166679482510931</v>
      </c>
      <c r="K40" s="8">
        <f>SUM(K35:K39)</f>
        <v>0.96919124055217698</v>
      </c>
    </row>
    <row r="42" spans="4:12" x14ac:dyDescent="0.3">
      <c r="D42" s="2" t="s">
        <v>11</v>
      </c>
      <c r="E42" s="1" t="str">
        <f>D43</f>
        <v>iPhone 17 Pro</v>
      </c>
      <c r="F42" s="1" t="str">
        <f>D44</f>
        <v>iPhone 17</v>
      </c>
      <c r="G42" s="1" t="str">
        <f>D45</f>
        <v>iPhone 16 Pro</v>
      </c>
      <c r="H42" s="1" t="str">
        <f>D46</f>
        <v>iPhone 16</v>
      </c>
      <c r="I42" s="1" t="str">
        <f>D47</f>
        <v>iPhone 13 mini</v>
      </c>
      <c r="J42" s="4" t="s">
        <v>12</v>
      </c>
      <c r="K42" s="4" t="s">
        <v>13</v>
      </c>
    </row>
    <row r="43" spans="4:12" x14ac:dyDescent="0.3">
      <c r="D43" s="1" t="s">
        <v>2</v>
      </c>
      <c r="E43" s="3">
        <v>1</v>
      </c>
      <c r="F43" s="3">
        <v>3</v>
      </c>
      <c r="G43" s="3">
        <v>3</v>
      </c>
      <c r="H43" s="3">
        <v>7</v>
      </c>
      <c r="I43" s="3">
        <v>9</v>
      </c>
      <c r="J43">
        <f>GEOMEAN(E43:I43)</f>
        <v>3.5539933576267324</v>
      </c>
      <c r="K43">
        <f>J43/$J$7</f>
        <v>0.464426782380717</v>
      </c>
      <c r="L43" s="7">
        <f>K43</f>
        <v>0.464426782380717</v>
      </c>
    </row>
    <row r="44" spans="4:12" x14ac:dyDescent="0.3">
      <c r="D44" s="1" t="s">
        <v>3</v>
      </c>
      <c r="E44" s="3">
        <f>1/F43</f>
        <v>0.33333333333333331</v>
      </c>
      <c r="F44" s="3">
        <v>1</v>
      </c>
      <c r="G44" s="3">
        <v>1</v>
      </c>
      <c r="H44" s="3">
        <v>3</v>
      </c>
      <c r="I44" s="3">
        <v>7</v>
      </c>
      <c r="J44">
        <f t="shared" ref="J44:J47" si="15">GEOMEAN(E44:I44)</f>
        <v>1.475773161594552</v>
      </c>
      <c r="K44">
        <f t="shared" ref="K44:K47" si="16">J44/$J$7</f>
        <v>0.19285027066591395</v>
      </c>
      <c r="L44" s="7">
        <f t="shared" ref="L44:L47" si="17">K44</f>
        <v>0.19285027066591395</v>
      </c>
    </row>
    <row r="45" spans="4:12" x14ac:dyDescent="0.3">
      <c r="D45" s="1" t="s">
        <v>4</v>
      </c>
      <c r="E45" s="3">
        <f>1/G43</f>
        <v>0.33333333333333331</v>
      </c>
      <c r="F45" s="3">
        <f>1/G44</f>
        <v>1</v>
      </c>
      <c r="G45" s="3">
        <v>1</v>
      </c>
      <c r="H45" s="3">
        <v>3</v>
      </c>
      <c r="I45" s="3">
        <v>9</v>
      </c>
      <c r="J45">
        <f t="shared" si="15"/>
        <v>1.5518455739153598</v>
      </c>
      <c r="K45">
        <f t="shared" si="16"/>
        <v>0.20279121937541986</v>
      </c>
      <c r="L45" s="7">
        <f t="shared" si="17"/>
        <v>0.20279121937541986</v>
      </c>
    </row>
    <row r="46" spans="4:12" x14ac:dyDescent="0.3">
      <c r="D46" s="1" t="s">
        <v>0</v>
      </c>
      <c r="E46" s="3">
        <f>1/H43</f>
        <v>0.14285714285714285</v>
      </c>
      <c r="F46" s="3">
        <f>1/H44</f>
        <v>0.33333333333333331</v>
      </c>
      <c r="G46" s="3">
        <f>1/H45</f>
        <v>0.33333333333333331</v>
      </c>
      <c r="H46" s="3">
        <v>1</v>
      </c>
      <c r="I46" s="3">
        <v>7</v>
      </c>
      <c r="J46">
        <f t="shared" si="15"/>
        <v>0.64439401497725424</v>
      </c>
      <c r="K46">
        <f t="shared" si="16"/>
        <v>8.4207765419439418E-2</v>
      </c>
      <c r="L46" s="7">
        <f t="shared" si="17"/>
        <v>8.4207765419439418E-2</v>
      </c>
    </row>
    <row r="47" spans="4:12" x14ac:dyDescent="0.3">
      <c r="D47" s="1" t="s">
        <v>1</v>
      </c>
      <c r="E47" s="3">
        <f>1/I43</f>
        <v>0.1111111111111111</v>
      </c>
      <c r="F47" s="3">
        <f>1/I44</f>
        <v>0.14285714285714285</v>
      </c>
      <c r="G47" s="3">
        <f>1/I45</f>
        <v>0.1111111111111111</v>
      </c>
      <c r="H47" s="3">
        <f>1/I46</f>
        <v>0.14285714285714285</v>
      </c>
      <c r="I47" s="6">
        <v>1</v>
      </c>
      <c r="J47">
        <f t="shared" si="15"/>
        <v>0.190661840137195</v>
      </c>
      <c r="K47">
        <f t="shared" si="16"/>
        <v>2.4915202710686708E-2</v>
      </c>
      <c r="L47" s="7">
        <f t="shared" si="17"/>
        <v>2.4915202710686708E-2</v>
      </c>
    </row>
    <row r="48" spans="4:12" x14ac:dyDescent="0.3">
      <c r="J48" s="8">
        <f>SUM(J43:J47)</f>
        <v>7.4166679482510931</v>
      </c>
      <c r="K48" s="8">
        <f>SUM(K43:K47)</f>
        <v>0.96919124055217698</v>
      </c>
    </row>
    <row r="50" spans="4:13" x14ac:dyDescent="0.3">
      <c r="D50" s="2" t="s">
        <v>14</v>
      </c>
      <c r="E50" s="1" t="s">
        <v>6</v>
      </c>
      <c r="F50" s="1" t="s">
        <v>8</v>
      </c>
      <c r="G50" s="1" t="s">
        <v>9</v>
      </c>
      <c r="H50" s="1" t="s">
        <v>10</v>
      </c>
      <c r="I50" s="1" t="s">
        <v>11</v>
      </c>
      <c r="J50" s="5"/>
      <c r="K50" s="1" t="s">
        <v>7</v>
      </c>
      <c r="L50" s="5"/>
    </row>
    <row r="51" spans="4:13" x14ac:dyDescent="0.3">
      <c r="D51" s="1" t="s">
        <v>2</v>
      </c>
      <c r="E51" s="3">
        <f>K11</f>
        <v>3.3198180587793925E-2</v>
      </c>
      <c r="F51" s="3">
        <f>K19</f>
        <v>0.51438347306798005</v>
      </c>
      <c r="G51" s="3">
        <f>K27</f>
        <v>0.51438347306798005</v>
      </c>
      <c r="H51" s="3">
        <f>K35</f>
        <v>0.464426782380717</v>
      </c>
      <c r="I51" s="3">
        <f>K43</f>
        <v>0.464426782380717</v>
      </c>
      <c r="J51" s="5"/>
      <c r="K51" s="5">
        <f>K2</f>
        <v>3.3198180587793925E-2</v>
      </c>
      <c r="L51" s="9"/>
      <c r="M51" s="10" cm="1">
        <f t="array" ref="M51:M55">MMULT(E51:I55,K51:K55)</f>
        <v>0.45941956263598444</v>
      </c>
    </row>
    <row r="52" spans="4:13" x14ac:dyDescent="0.3">
      <c r="D52" s="1" t="s">
        <v>3</v>
      </c>
      <c r="E52" s="3">
        <f t="shared" ref="E52:E55" si="18">K12</f>
        <v>6.4178126636725397E-2</v>
      </c>
      <c r="F52" s="3">
        <f t="shared" ref="F52:F55" si="19">K20</f>
        <v>0.13977395431339368</v>
      </c>
      <c r="G52" s="3">
        <f t="shared" ref="G52:G55" si="20">K28</f>
        <v>0.26608123865858513</v>
      </c>
      <c r="H52" s="3">
        <f t="shared" ref="H52:H55" si="21">K36</f>
        <v>0.19285027066591395</v>
      </c>
      <c r="I52" s="3">
        <f t="shared" ref="I52:I55" si="22">K44</f>
        <v>0.19285027066591395</v>
      </c>
      <c r="J52" s="5"/>
      <c r="K52" s="5">
        <f t="shared" ref="K52:K55" si="23">K3</f>
        <v>0.11030756242835785</v>
      </c>
      <c r="L52" s="9"/>
      <c r="M52" s="10">
        <v>0.18829158770752488</v>
      </c>
    </row>
    <row r="53" spans="4:13" x14ac:dyDescent="0.3">
      <c r="D53" s="1" t="s">
        <v>4</v>
      </c>
      <c r="E53" s="3">
        <f t="shared" si="18"/>
        <v>0.13067744805545994</v>
      </c>
      <c r="F53" s="3">
        <f t="shared" si="19"/>
        <v>0.25262329625831825</v>
      </c>
      <c r="G53" s="3">
        <f t="shared" si="20"/>
        <v>0.14697895177570658</v>
      </c>
      <c r="H53" s="3">
        <f t="shared" si="21"/>
        <v>0.20279121937541986</v>
      </c>
      <c r="I53" s="3">
        <f t="shared" si="22"/>
        <v>0.20279121937541986</v>
      </c>
      <c r="J53" s="5"/>
      <c r="K53" s="5">
        <f t="shared" si="23"/>
        <v>7.6029545257283115E-2</v>
      </c>
      <c r="L53" s="9"/>
      <c r="M53" s="10">
        <v>0.20165064697858404</v>
      </c>
    </row>
    <row r="54" spans="4:13" x14ac:dyDescent="0.3">
      <c r="D54" s="1" t="s">
        <v>0</v>
      </c>
      <c r="E54" s="3">
        <f t="shared" si="18"/>
        <v>0.26608123865858513</v>
      </c>
      <c r="F54" s="3">
        <f t="shared" si="19"/>
        <v>8.4207765419439418E-2</v>
      </c>
      <c r="G54" s="3">
        <f t="shared" si="20"/>
        <v>7.6029545257283115E-2</v>
      </c>
      <c r="H54" s="3">
        <f t="shared" si="21"/>
        <v>8.4207765419439418E-2</v>
      </c>
      <c r="I54" s="3">
        <f t="shared" si="22"/>
        <v>8.4207765419439418E-2</v>
      </c>
      <c r="J54" s="5"/>
      <c r="K54" s="5">
        <f t="shared" si="23"/>
        <v>0.51438347306798005</v>
      </c>
      <c r="L54" s="9"/>
      <c r="M54" s="10">
        <v>8.9623847468219206E-2</v>
      </c>
    </row>
    <row r="55" spans="4:13" x14ac:dyDescent="0.3">
      <c r="D55" s="1" t="s">
        <v>1</v>
      </c>
      <c r="E55" s="3">
        <f t="shared" si="18"/>
        <v>0.51438347306798005</v>
      </c>
      <c r="F55" s="3">
        <f t="shared" si="19"/>
        <v>2.4915202710686708E-2</v>
      </c>
      <c r="G55" s="3">
        <f t="shared" si="20"/>
        <v>2.4915202710686708E-2</v>
      </c>
      <c r="H55" s="3">
        <f t="shared" si="21"/>
        <v>2.4915202710686708E-2</v>
      </c>
      <c r="I55" s="6">
        <f t="shared" si="22"/>
        <v>2.4915202710686708E-2</v>
      </c>
      <c r="J55" s="5"/>
      <c r="K55" s="5">
        <f t="shared" si="23"/>
        <v>0.26608123865858513</v>
      </c>
      <c r="L55" s="9"/>
      <c r="M55" s="10">
        <v>4.1164658742003271E-2</v>
      </c>
    </row>
    <row r="56" spans="4:13" x14ac:dyDescent="0.3">
      <c r="J56" s="5"/>
      <c r="K56" s="5"/>
      <c r="L56" s="5"/>
    </row>
    <row r="57" spans="4:13" x14ac:dyDescent="0.3">
      <c r="E57" s="3"/>
      <c r="F57" s="3"/>
      <c r="G57" s="3"/>
      <c r="H57" s="3"/>
      <c r="I57" s="3"/>
      <c r="J5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Акукамбеков</dc:creator>
  <cp:lastModifiedBy>Владислав Акукамбеков</cp:lastModifiedBy>
  <dcterms:created xsi:type="dcterms:W3CDTF">2025-10-20T11:18:52Z</dcterms:created>
  <dcterms:modified xsi:type="dcterms:W3CDTF">2025-10-20T12:22:06Z</dcterms:modified>
</cp:coreProperties>
</file>
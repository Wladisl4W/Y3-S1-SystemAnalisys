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isl4W\Desktop\"/>
    </mc:Choice>
  </mc:AlternateContent>
  <xr:revisionPtr revIDLastSave="0" documentId="13_ncr:1_{239C7D98-3285-4405-BA2A-C383B73FDFD6}" xr6:coauthVersionLast="47" xr6:coauthVersionMax="47" xr10:uidLastSave="{00000000-0000-0000-0000-000000000000}"/>
  <bookViews>
    <workbookView xWindow="4284" yWindow="3360" windowWidth="17280" windowHeight="8880" xr2:uid="{8EB748F6-0763-4F5D-B7C6-007A4ABBE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7" i="1" l="1"/>
  <c r="AM17" i="1"/>
  <c r="AN17" i="1"/>
  <c r="AO17" i="1"/>
  <c r="AP17" i="1"/>
  <c r="AL18" i="1"/>
  <c r="AM18" i="1"/>
  <c r="AM20" i="1" s="1"/>
  <c r="AN18" i="1"/>
  <c r="AN20" i="1" s="1"/>
  <c r="AO18" i="1"/>
  <c r="AP18" i="1"/>
  <c r="AL19" i="1"/>
  <c r="AM19" i="1"/>
  <c r="AN19" i="1"/>
  <c r="AO19" i="1"/>
  <c r="AP19" i="1"/>
  <c r="AM16" i="1"/>
  <c r="AN16" i="1"/>
  <c r="AO16" i="1"/>
  <c r="AP16" i="1"/>
  <c r="AL16" i="1"/>
  <c r="AO20" i="1"/>
  <c r="AL20" i="1"/>
  <c r="AL12" i="1"/>
  <c r="AK12" i="1" s="1"/>
  <c r="AM12" i="1"/>
  <c r="AN12" i="1"/>
  <c r="AO12" i="1"/>
  <c r="AP12" i="1"/>
  <c r="AL13" i="1"/>
  <c r="AK13" i="1" s="1"/>
  <c r="AM13" i="1"/>
  <c r="AN13" i="1"/>
  <c r="AO13" i="1"/>
  <c r="AP13" i="1"/>
  <c r="AL14" i="1"/>
  <c r="AK14" i="1" s="1"/>
  <c r="AM14" i="1"/>
  <c r="AN14" i="1"/>
  <c r="AO14" i="1"/>
  <c r="AP14" i="1"/>
  <c r="AM11" i="1"/>
  <c r="AN11" i="1"/>
  <c r="AO11" i="1"/>
  <c r="AP11" i="1"/>
  <c r="AL11" i="1"/>
  <c r="AK11" i="1" s="1"/>
  <c r="AM10" i="1"/>
  <c r="AN10" i="1"/>
  <c r="AO10" i="1"/>
  <c r="AP10" i="1"/>
  <c r="AL10" i="1"/>
  <c r="AM8" i="1"/>
  <c r="AN8" i="1"/>
  <c r="AO8" i="1"/>
  <c r="AP8" i="1"/>
  <c r="AL8" i="1"/>
  <c r="AK7" i="1"/>
  <c r="AM7" i="1"/>
  <c r="AN7" i="1"/>
  <c r="AO7" i="1"/>
  <c r="AP7" i="1"/>
  <c r="AL7" i="1"/>
  <c r="AO1" i="1"/>
  <c r="AN1" i="1"/>
  <c r="AM1" i="1"/>
  <c r="AL1" i="1"/>
  <c r="Z18" i="1"/>
  <c r="Z17" i="1"/>
  <c r="AB17" i="1"/>
  <c r="AC17" i="1"/>
  <c r="AD17" i="1"/>
  <c r="AE17" i="1"/>
  <c r="AA17" i="1"/>
  <c r="AB16" i="1"/>
  <c r="AC16" i="1"/>
  <c r="AD16" i="1"/>
  <c r="AE16" i="1"/>
  <c r="AA16" i="1"/>
  <c r="Z16" i="1"/>
  <c r="AB14" i="1"/>
  <c r="AC14" i="1"/>
  <c r="AD14" i="1"/>
  <c r="AE14" i="1"/>
  <c r="AA14" i="1"/>
  <c r="AF13" i="1"/>
  <c r="AB13" i="1"/>
  <c r="AC13" i="1"/>
  <c r="AD13" i="1"/>
  <c r="AE13" i="1"/>
  <c r="AA13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B9" i="1"/>
  <c r="AC9" i="1"/>
  <c r="AD9" i="1"/>
  <c r="AE9" i="1"/>
  <c r="AA9" i="1"/>
  <c r="AD1" i="1"/>
  <c r="AC1" i="1"/>
  <c r="AB1" i="1"/>
  <c r="AA1" i="1"/>
  <c r="U6" i="1"/>
  <c r="U5" i="1"/>
  <c r="U4" i="1"/>
  <c r="U3" i="1"/>
  <c r="T7" i="1"/>
  <c r="S7" i="1"/>
  <c r="R7" i="1"/>
  <c r="Q7" i="1"/>
  <c r="E9" i="1"/>
  <c r="D9" i="1"/>
  <c r="C9" i="1"/>
  <c r="F7" i="1"/>
  <c r="F9" i="1" s="1"/>
  <c r="E7" i="1"/>
  <c r="D7" i="1"/>
  <c r="C7" i="1"/>
  <c r="G6" i="1"/>
  <c r="G5" i="1"/>
  <c r="G4" i="1"/>
  <c r="G3" i="1"/>
  <c r="J15" i="1"/>
  <c r="J13" i="1"/>
  <c r="J11" i="1"/>
  <c r="M9" i="1"/>
  <c r="L9" i="1"/>
  <c r="K9" i="1"/>
  <c r="J9" i="1"/>
  <c r="K7" i="1"/>
  <c r="L7" i="1"/>
  <c r="M7" i="1"/>
  <c r="J7" i="1"/>
  <c r="N9" i="1"/>
  <c r="N10" i="1"/>
  <c r="N11" i="1"/>
  <c r="N8" i="1"/>
  <c r="N7" i="1"/>
  <c r="N4" i="1"/>
  <c r="N5" i="1"/>
  <c r="N6" i="1"/>
  <c r="N3" i="1"/>
  <c r="T5" i="1"/>
  <c r="T4" i="1"/>
  <c r="S4" i="1"/>
  <c r="T3" i="1"/>
  <c r="S3" i="1"/>
  <c r="R3" i="1"/>
  <c r="T1" i="1"/>
  <c r="S1" i="1"/>
  <c r="R1" i="1"/>
  <c r="Q1" i="1"/>
  <c r="M5" i="1"/>
  <c r="M4" i="1"/>
  <c r="L4" i="1"/>
  <c r="M3" i="1"/>
  <c r="L3" i="1"/>
  <c r="K3" i="1"/>
  <c r="M1" i="1"/>
  <c r="L1" i="1"/>
  <c r="K1" i="1"/>
  <c r="J1" i="1"/>
  <c r="F5" i="1"/>
  <c r="F4" i="1"/>
  <c r="F3" i="1"/>
  <c r="E4" i="1"/>
  <c r="E3" i="1"/>
  <c r="D3" i="1"/>
  <c r="F1" i="1"/>
  <c r="E1" i="1"/>
  <c r="D1" i="1"/>
  <c r="C1" i="1"/>
  <c r="AP20" i="1" l="1"/>
  <c r="U7" i="1"/>
  <c r="U8" i="1" s="1"/>
  <c r="Q9" i="1" s="1"/>
  <c r="C11" i="1"/>
  <c r="C13" i="1" s="1"/>
  <c r="C15" i="1" s="1"/>
  <c r="G7" i="1"/>
  <c r="G9" i="1" s="1"/>
  <c r="U11" i="1" l="1"/>
  <c r="T9" i="1" s="1"/>
  <c r="U10" i="1"/>
  <c r="S9" i="1" s="1"/>
  <c r="U9" i="1"/>
  <c r="R9" i="1" s="1"/>
  <c r="Q11" i="1" s="1"/>
  <c r="Q13" i="1" s="1"/>
  <c r="Q15" i="1" s="1"/>
  <c r="G11" i="1"/>
  <c r="G10" i="1"/>
  <c r="G8" i="1"/>
</calcChain>
</file>

<file path=xl/sharedStrings.xml><?xml version="1.0" encoding="utf-8"?>
<sst xmlns="http://schemas.openxmlformats.org/spreadsheetml/2006/main" count="71" uniqueCount="9">
  <si>
    <t>a1</t>
  </si>
  <si>
    <t>a2</t>
  </si>
  <si>
    <t>a3</t>
  </si>
  <si>
    <t>a4</t>
  </si>
  <si>
    <t>аренда</t>
  </si>
  <si>
    <t>банк.кредит</t>
  </si>
  <si>
    <t>помещений</t>
  </si>
  <si>
    <t>акций</t>
  </si>
  <si>
    <t>а5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</si>
</sst>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1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2" xfId="0" applyNumberFormat="1" applyBorder="1"/>
    <xf numFmtId="2" fontId="0" fillId="0" borderId="0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2" borderId="0" xfId="0" applyFont="1" applyFill="1"/>
    <xf numFmtId="2" fontId="0" fillId="0" borderId="0" xfId="0" applyNumberFormat="1"/>
    <xf numFmtId="2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" fontId="0" fillId="0" borderId="13" xfId="0" applyNumberFormat="1" applyBorder="1"/>
    <xf numFmtId="0" fontId="0" fillId="0" borderId="14" xfId="0" applyBorder="1"/>
    <xf numFmtId="2" fontId="0" fillId="0" borderId="15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5" xfId="0" applyNumberFormat="1" applyFill="1" applyBorder="1"/>
    <xf numFmtId="2" fontId="0" fillId="1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FFC8-5F27-4C3C-A53C-EDECB3F9FB9E}">
  <dimension ref="A1:AP26"/>
  <sheetViews>
    <sheetView tabSelected="1" topLeftCell="AG2" workbookViewId="0">
      <selection activeCell="AJ11" sqref="AJ11"/>
    </sheetView>
  </sheetViews>
  <sheetFormatPr defaultRowHeight="14.4" x14ac:dyDescent="0.3"/>
  <cols>
    <col min="1" max="1" width="11.5546875" bestFit="1" customWidth="1"/>
    <col min="3" max="3" width="11.5546875" bestFit="1" customWidth="1"/>
    <col min="4" max="4" width="7.21875" bestFit="1" customWidth="1"/>
    <col min="5" max="5" width="11.21875" bestFit="1" customWidth="1"/>
  </cols>
  <sheetData>
    <row r="1" spans="1:42" ht="15" thickBot="1" x14ac:dyDescent="0.35">
      <c r="C1" t="str">
        <f>A3</f>
        <v>банк.кредит</v>
      </c>
      <c r="D1" t="str">
        <f>A4</f>
        <v>аренда</v>
      </c>
      <c r="E1" t="str">
        <f>A5</f>
        <v>помещений</v>
      </c>
      <c r="F1" t="str">
        <f>A6</f>
        <v>акций</v>
      </c>
      <c r="J1" t="str">
        <f>H3</f>
        <v>банк.кредит</v>
      </c>
      <c r="K1" t="str">
        <f>H4</f>
        <v>аренда</v>
      </c>
      <c r="L1" t="str">
        <f>H5</f>
        <v>помещений</v>
      </c>
      <c r="M1" t="str">
        <f>H6</f>
        <v>акций</v>
      </c>
      <c r="Q1" t="str">
        <f>O3</f>
        <v>банк.кредит</v>
      </c>
      <c r="R1" t="str">
        <f>O4</f>
        <v>аренда</v>
      </c>
      <c r="S1" t="str">
        <f>O5</f>
        <v>помещений</v>
      </c>
      <c r="T1" t="str">
        <f>O6</f>
        <v>акций</v>
      </c>
      <c r="W1" s="20"/>
      <c r="AA1" t="str">
        <f>Y3</f>
        <v>банк.кредит</v>
      </c>
      <c r="AB1" t="str">
        <f>Y4</f>
        <v>аренда</v>
      </c>
      <c r="AC1" t="str">
        <f>Y5</f>
        <v>помещений</v>
      </c>
      <c r="AD1" t="str">
        <f>Y6</f>
        <v>акций</v>
      </c>
      <c r="AL1" t="str">
        <f>AJ3</f>
        <v>банк.кредит</v>
      </c>
      <c r="AM1" t="str">
        <f>AJ4</f>
        <v>аренда</v>
      </c>
      <c r="AN1" t="str">
        <f>AJ5</f>
        <v>помещений</v>
      </c>
      <c r="AO1" t="str">
        <f>AJ6</f>
        <v>акций</v>
      </c>
    </row>
    <row r="2" spans="1:42" ht="15" thickBot="1" x14ac:dyDescent="0.35">
      <c r="B2" s="1">
        <v>1</v>
      </c>
      <c r="C2" s="2" t="s">
        <v>0</v>
      </c>
      <c r="D2" s="2" t="s">
        <v>1</v>
      </c>
      <c r="E2" s="2" t="s">
        <v>2</v>
      </c>
      <c r="F2" s="3" t="s">
        <v>3</v>
      </c>
      <c r="I2" s="1">
        <v>2</v>
      </c>
      <c r="J2" s="2" t="s">
        <v>0</v>
      </c>
      <c r="K2" s="2" t="s">
        <v>1</v>
      </c>
      <c r="L2" s="2" t="s">
        <v>2</v>
      </c>
      <c r="M2" s="3" t="s">
        <v>3</v>
      </c>
      <c r="P2" s="1">
        <v>3</v>
      </c>
      <c r="Q2" s="2" t="s">
        <v>0</v>
      </c>
      <c r="R2" s="2" t="s">
        <v>1</v>
      </c>
      <c r="S2" s="2" t="s">
        <v>2</v>
      </c>
      <c r="T2" s="3" t="s">
        <v>3</v>
      </c>
      <c r="W2" s="20"/>
      <c r="Z2" s="1">
        <v>1</v>
      </c>
      <c r="AA2" s="21" t="s">
        <v>0</v>
      </c>
      <c r="AB2" s="23" t="s">
        <v>1</v>
      </c>
      <c r="AC2" s="23" t="s">
        <v>2</v>
      </c>
      <c r="AD2" s="23" t="s">
        <v>3</v>
      </c>
      <c r="AE2" s="22" t="s">
        <v>8</v>
      </c>
      <c r="AH2" s="20"/>
      <c r="AK2" s="1">
        <v>1</v>
      </c>
      <c r="AL2" s="21" t="s">
        <v>0</v>
      </c>
      <c r="AM2" s="23" t="s">
        <v>1</v>
      </c>
      <c r="AN2" s="23" t="s">
        <v>2</v>
      </c>
      <c r="AO2" s="23" t="s">
        <v>3</v>
      </c>
      <c r="AP2" s="22" t="s">
        <v>8</v>
      </c>
    </row>
    <row r="3" spans="1:42" x14ac:dyDescent="0.3">
      <c r="A3" t="s">
        <v>5</v>
      </c>
      <c r="B3" s="4" t="s">
        <v>0</v>
      </c>
      <c r="C3" s="5">
        <v>1</v>
      </c>
      <c r="D3" s="2">
        <f>1/C4</f>
        <v>0.33333333333333331</v>
      </c>
      <c r="E3" s="2">
        <f>1/C5</f>
        <v>7</v>
      </c>
      <c r="F3" s="3">
        <f>1/C6</f>
        <v>5</v>
      </c>
      <c r="G3" s="16">
        <f>PRODUCT(C3:F3)^(1/4)</f>
        <v>1.8481477904431416</v>
      </c>
      <c r="H3" t="s">
        <v>5</v>
      </c>
      <c r="I3" s="4" t="s">
        <v>0</v>
      </c>
      <c r="J3" s="5">
        <v>1</v>
      </c>
      <c r="K3" s="2">
        <f>1/J4</f>
        <v>3</v>
      </c>
      <c r="L3" s="2">
        <f>1/J5</f>
        <v>7</v>
      </c>
      <c r="M3" s="3">
        <f>1/J6</f>
        <v>5</v>
      </c>
      <c r="N3" s="16">
        <f>PRODUCT(J3:M3)^(1/4)</f>
        <v>3.2010858729436791</v>
      </c>
      <c r="O3" t="s">
        <v>5</v>
      </c>
      <c r="P3" s="4" t="s">
        <v>0</v>
      </c>
      <c r="Q3" s="5">
        <v>1</v>
      </c>
      <c r="R3" s="2">
        <f>1/Q4</f>
        <v>3</v>
      </c>
      <c r="S3" s="2">
        <f>1/Q5</f>
        <v>7</v>
      </c>
      <c r="T3" s="3">
        <f>1/Q6</f>
        <v>9</v>
      </c>
      <c r="U3" s="16">
        <f>PRODUCT(Q3:T3)^(1/4)</f>
        <v>3.7077927510673412</v>
      </c>
      <c r="W3" s="20"/>
      <c r="Y3" t="s">
        <v>5</v>
      </c>
      <c r="Z3" s="4" t="s">
        <v>0</v>
      </c>
      <c r="AA3" s="4">
        <v>2</v>
      </c>
      <c r="AB3" s="6">
        <v>1</v>
      </c>
      <c r="AC3" s="6">
        <v>3</v>
      </c>
      <c r="AD3" s="6">
        <v>5</v>
      </c>
      <c r="AE3" s="7">
        <v>4</v>
      </c>
      <c r="AH3" s="20"/>
      <c r="AJ3" t="s">
        <v>5</v>
      </c>
      <c r="AK3" s="4" t="s">
        <v>0</v>
      </c>
      <c r="AL3" s="4">
        <v>10</v>
      </c>
      <c r="AM3" s="6">
        <v>10</v>
      </c>
      <c r="AN3" s="6">
        <v>7</v>
      </c>
      <c r="AO3" s="6">
        <v>2</v>
      </c>
      <c r="AP3" s="7">
        <v>6</v>
      </c>
    </row>
    <row r="4" spans="1:42" x14ac:dyDescent="0.3">
      <c r="A4" t="s">
        <v>4</v>
      </c>
      <c r="B4" s="4" t="s">
        <v>1</v>
      </c>
      <c r="C4" s="4">
        <v>3</v>
      </c>
      <c r="D4" s="6">
        <v>1</v>
      </c>
      <c r="E4" s="6">
        <f>1/D5</f>
        <v>9.0000000000000089</v>
      </c>
      <c r="F4" s="7">
        <f>1/D6</f>
        <v>7</v>
      </c>
      <c r="G4" s="16">
        <f t="shared" ref="G4:G6" si="0">PRODUCT(C4:F4)^(1/4)</f>
        <v>3.7077927510673421</v>
      </c>
      <c r="H4" t="s">
        <v>4</v>
      </c>
      <c r="I4" s="4" t="s">
        <v>1</v>
      </c>
      <c r="J4" s="4">
        <v>0.33333333333333331</v>
      </c>
      <c r="K4" s="6">
        <v>1</v>
      </c>
      <c r="L4" s="6">
        <f>1/K5</f>
        <v>9</v>
      </c>
      <c r="M4" s="7">
        <f>1/K6</f>
        <v>3</v>
      </c>
      <c r="N4" s="16">
        <f t="shared" ref="N4:N6" si="1">PRODUCT(J4:M4)^(1/4)</f>
        <v>1.7320508075688774</v>
      </c>
      <c r="O4" t="s">
        <v>4</v>
      </c>
      <c r="P4" s="4" t="s">
        <v>1</v>
      </c>
      <c r="Q4" s="4">
        <v>0.33333333333333331</v>
      </c>
      <c r="R4" s="6">
        <v>1</v>
      </c>
      <c r="S4" s="6">
        <f>1/R5</f>
        <v>5</v>
      </c>
      <c r="T4" s="7">
        <f>1/R6</f>
        <v>7</v>
      </c>
      <c r="U4" s="16">
        <f t="shared" ref="U4:U6" si="2">PRODUCT(Q4:T4)^(1/4)</f>
        <v>1.8481477904431416</v>
      </c>
      <c r="W4" s="20"/>
      <c r="Y4" t="s">
        <v>4</v>
      </c>
      <c r="Z4" s="4" t="s">
        <v>1</v>
      </c>
      <c r="AA4" s="4">
        <v>2</v>
      </c>
      <c r="AB4" s="6">
        <v>3</v>
      </c>
      <c r="AC4" s="6">
        <v>1</v>
      </c>
      <c r="AD4" s="6">
        <v>5</v>
      </c>
      <c r="AE4" s="7">
        <v>4</v>
      </c>
      <c r="AH4" s="20"/>
      <c r="AJ4" t="s">
        <v>4</v>
      </c>
      <c r="AK4" s="4" t="s">
        <v>1</v>
      </c>
      <c r="AL4" s="4">
        <v>10</v>
      </c>
      <c r="AM4" s="6">
        <v>9</v>
      </c>
      <c r="AN4" s="6">
        <v>10</v>
      </c>
      <c r="AO4" s="6">
        <v>4</v>
      </c>
      <c r="AP4" s="7">
        <v>6</v>
      </c>
    </row>
    <row r="5" spans="1:42" x14ac:dyDescent="0.3">
      <c r="A5" t="s">
        <v>6</v>
      </c>
      <c r="B5" s="4" t="s">
        <v>2</v>
      </c>
      <c r="C5" s="4">
        <v>0.14285714285714285</v>
      </c>
      <c r="D5" s="6">
        <v>0.11111111111111099</v>
      </c>
      <c r="E5" s="6">
        <v>1</v>
      </c>
      <c r="F5" s="7">
        <f>1/E6</f>
        <v>0.33333333333333331</v>
      </c>
      <c r="G5" s="16">
        <f t="shared" si="0"/>
        <v>0.26970223719007369</v>
      </c>
      <c r="H5" t="s">
        <v>6</v>
      </c>
      <c r="I5" s="4" t="s">
        <v>2</v>
      </c>
      <c r="J5" s="4">
        <v>0.14285714285714285</v>
      </c>
      <c r="K5" s="6">
        <v>0.1111111111111111</v>
      </c>
      <c r="L5" s="6">
        <v>1</v>
      </c>
      <c r="M5" s="7">
        <f>1/L6</f>
        <v>0.33333333333333331</v>
      </c>
      <c r="N5" s="16">
        <f t="shared" si="1"/>
        <v>0.26970223719007375</v>
      </c>
      <c r="O5" t="s">
        <v>6</v>
      </c>
      <c r="P5" s="4" t="s">
        <v>2</v>
      </c>
      <c r="Q5" s="4">
        <v>0.14285714285714285</v>
      </c>
      <c r="R5" s="6">
        <v>0.2</v>
      </c>
      <c r="S5" s="6">
        <v>1</v>
      </c>
      <c r="T5" s="7">
        <f>1/S6</f>
        <v>3</v>
      </c>
      <c r="U5" s="16">
        <f t="shared" si="2"/>
        <v>0.54108226905393964</v>
      </c>
      <c r="W5" s="20"/>
      <c r="Y5" t="s">
        <v>6</v>
      </c>
      <c r="Z5" s="4" t="s">
        <v>2</v>
      </c>
      <c r="AA5" s="4">
        <v>1</v>
      </c>
      <c r="AB5" s="6">
        <v>3</v>
      </c>
      <c r="AC5" s="6">
        <v>2</v>
      </c>
      <c r="AD5" s="6">
        <v>5</v>
      </c>
      <c r="AE5" s="7">
        <v>4</v>
      </c>
      <c r="AH5" s="20"/>
      <c r="AJ5" t="s">
        <v>6</v>
      </c>
      <c r="AK5" s="4" t="s">
        <v>2</v>
      </c>
      <c r="AL5" s="4">
        <v>10</v>
      </c>
      <c r="AM5" s="6">
        <v>8</v>
      </c>
      <c r="AN5" s="6">
        <v>10</v>
      </c>
      <c r="AO5" s="6">
        <v>3</v>
      </c>
      <c r="AP5" s="7">
        <v>7</v>
      </c>
    </row>
    <row r="6" spans="1:42" ht="15" thickBot="1" x14ac:dyDescent="0.35">
      <c r="A6" t="s">
        <v>7</v>
      </c>
      <c r="B6" s="8" t="s">
        <v>3</v>
      </c>
      <c r="C6" s="8">
        <v>0.2</v>
      </c>
      <c r="D6" s="9">
        <v>0.14285714285714285</v>
      </c>
      <c r="E6" s="9">
        <v>3</v>
      </c>
      <c r="F6" s="10">
        <v>1</v>
      </c>
      <c r="G6" s="16">
        <f t="shared" si="0"/>
        <v>0.54108226905393964</v>
      </c>
      <c r="H6" t="s">
        <v>7</v>
      </c>
      <c r="I6" s="8" t="s">
        <v>3</v>
      </c>
      <c r="J6" s="8">
        <v>0.2</v>
      </c>
      <c r="K6" s="9">
        <v>0.33333333333333331</v>
      </c>
      <c r="L6" s="9">
        <v>3</v>
      </c>
      <c r="M6" s="10">
        <v>1</v>
      </c>
      <c r="N6" s="16">
        <f t="shared" si="1"/>
        <v>0.66874030497642201</v>
      </c>
      <c r="O6" t="s">
        <v>7</v>
      </c>
      <c r="P6" s="8" t="s">
        <v>3</v>
      </c>
      <c r="Q6" s="8">
        <v>0.1111111111111111</v>
      </c>
      <c r="R6" s="9">
        <v>0.14285714285714285</v>
      </c>
      <c r="S6" s="9">
        <v>0.33333333333333331</v>
      </c>
      <c r="T6" s="10">
        <v>1</v>
      </c>
      <c r="U6" s="16">
        <f t="shared" si="2"/>
        <v>0.26970223719007375</v>
      </c>
      <c r="W6" s="20"/>
      <c r="Y6" t="s">
        <v>7</v>
      </c>
      <c r="Z6" s="8" t="s">
        <v>3</v>
      </c>
      <c r="AA6" s="8">
        <v>2</v>
      </c>
      <c r="AB6" s="9">
        <v>1</v>
      </c>
      <c r="AC6" s="9">
        <v>4</v>
      </c>
      <c r="AD6" s="9">
        <v>5</v>
      </c>
      <c r="AE6" s="10">
        <v>3</v>
      </c>
      <c r="AH6" s="20"/>
      <c r="AJ6" t="s">
        <v>7</v>
      </c>
      <c r="AK6" s="8" t="s">
        <v>3</v>
      </c>
      <c r="AL6" s="8">
        <v>9</v>
      </c>
      <c r="AM6" s="9">
        <v>10</v>
      </c>
      <c r="AN6" s="9">
        <v>6</v>
      </c>
      <c r="AO6" s="9">
        <v>2</v>
      </c>
      <c r="AP6" s="10">
        <v>9</v>
      </c>
    </row>
    <row r="7" spans="1:42" ht="15" thickBot="1" x14ac:dyDescent="0.35">
      <c r="C7" s="13">
        <f>SUM(C3:C6)</f>
        <v>4.3428571428571434</v>
      </c>
      <c r="D7" s="13">
        <f t="shared" ref="D7" si="3">SUM(D3:D6)</f>
        <v>1.587301587301587</v>
      </c>
      <c r="E7" s="13">
        <f t="shared" ref="E7" si="4">SUM(E3:E6)</f>
        <v>20.000000000000007</v>
      </c>
      <c r="F7" s="13">
        <f t="shared" ref="F7" si="5">SUM(F3:F6)</f>
        <v>13.333333333333334</v>
      </c>
      <c r="G7" s="11">
        <f>SUM(G3:G6)</f>
        <v>6.366725047754497</v>
      </c>
      <c r="J7" s="13">
        <f>SUM(J3:J6)</f>
        <v>1.676190476190476</v>
      </c>
      <c r="K7" s="13">
        <f t="shared" ref="K7:M7" si="6">SUM(K3:K6)</f>
        <v>4.4444444444444438</v>
      </c>
      <c r="L7" s="13">
        <f t="shared" si="6"/>
        <v>20</v>
      </c>
      <c r="M7" s="13">
        <f t="shared" si="6"/>
        <v>9.3333333333333339</v>
      </c>
      <c r="N7" s="11">
        <f>SUM(N3:N6)</f>
        <v>5.8715792226790526</v>
      </c>
      <c r="Q7" s="13">
        <f>SUM(Q3:Q6)</f>
        <v>1.5873015873015872</v>
      </c>
      <c r="R7" s="13">
        <f t="shared" ref="R7" si="7">SUM(R3:R6)</f>
        <v>4.3428571428571434</v>
      </c>
      <c r="S7" s="13">
        <f t="shared" ref="S7" si="8">SUM(S3:S6)</f>
        <v>13.333333333333334</v>
      </c>
      <c r="T7" s="13">
        <f t="shared" ref="T7" si="9">SUM(T3:T6)</f>
        <v>20</v>
      </c>
      <c r="U7" s="11">
        <f>SUM(U3:U6)</f>
        <v>6.3667250477544952</v>
      </c>
      <c r="W7" s="20"/>
      <c r="AH7" s="20"/>
      <c r="AK7" s="12">
        <f>SUM(AL7:AP7)</f>
        <v>148</v>
      </c>
      <c r="AL7" s="12">
        <f>SUM(AL3:AL6)</f>
        <v>39</v>
      </c>
      <c r="AM7" s="12">
        <f t="shared" ref="AM7:AP7" si="10">SUM(AM3:AM6)</f>
        <v>37</v>
      </c>
      <c r="AN7" s="12">
        <f t="shared" si="10"/>
        <v>33</v>
      </c>
      <c r="AO7" s="12">
        <f t="shared" si="10"/>
        <v>11</v>
      </c>
      <c r="AP7" s="12">
        <f t="shared" si="10"/>
        <v>28</v>
      </c>
    </row>
    <row r="8" spans="1:42" ht="15" thickBot="1" x14ac:dyDescent="0.35">
      <c r="G8" s="17">
        <f>G3/G$7</f>
        <v>0.29028233143112903</v>
      </c>
      <c r="N8" s="17">
        <f>N3/N$7</f>
        <v>0.54518311880719283</v>
      </c>
      <c r="U8" s="17">
        <f>U3/U$7</f>
        <v>0.58237048455156026</v>
      </c>
      <c r="W8" s="20"/>
      <c r="Z8" s="1">
        <v>1</v>
      </c>
      <c r="AA8" s="21" t="s">
        <v>0</v>
      </c>
      <c r="AB8" s="23" t="s">
        <v>1</v>
      </c>
      <c r="AC8" s="23" t="s">
        <v>2</v>
      </c>
      <c r="AD8" s="23" t="s">
        <v>3</v>
      </c>
      <c r="AE8" s="22" t="s">
        <v>8</v>
      </c>
      <c r="AH8" s="20"/>
      <c r="AL8" s="20">
        <f>AL7/$AK7</f>
        <v>0.26351351351351349</v>
      </c>
      <c r="AM8" s="20">
        <f t="shared" ref="AM8:AP8" si="11">AM7/$AK7</f>
        <v>0.25</v>
      </c>
      <c r="AN8" s="20">
        <f t="shared" si="11"/>
        <v>0.22297297297297297</v>
      </c>
      <c r="AO8" s="20">
        <f t="shared" si="11"/>
        <v>7.4324324324324328E-2</v>
      </c>
      <c r="AP8" s="20">
        <f t="shared" si="11"/>
        <v>0.1891891891891892</v>
      </c>
    </row>
    <row r="9" spans="1:42" x14ac:dyDescent="0.3">
      <c r="C9" s="14">
        <f>C7*G8</f>
        <v>1.2606546965009033</v>
      </c>
      <c r="D9" s="14">
        <f>D7*G9</f>
        <v>0.924397594526286</v>
      </c>
      <c r="E9" s="14">
        <f>E7*G10</f>
        <v>0.84722438983036041</v>
      </c>
      <c r="F9" s="14">
        <f>F7*G11</f>
        <v>1.1331461936772362</v>
      </c>
      <c r="G9" s="17">
        <f t="shared" ref="G9:G11" si="12">G4/G$7</f>
        <v>0.58237048455156026</v>
      </c>
      <c r="J9" s="14">
        <f>J7*N8</f>
        <v>0.91383075152443738</v>
      </c>
      <c r="K9" s="14">
        <f>K7*N9</f>
        <v>1.3110618621071088</v>
      </c>
      <c r="L9" s="14">
        <f>L7*N10</f>
        <v>0.91867018041192483</v>
      </c>
      <c r="M9" s="14">
        <f>M7*N11</f>
        <v>1.0630148965157054</v>
      </c>
      <c r="N9" s="17">
        <f t="shared" ref="N9:N11" si="13">N4/N$7</f>
        <v>0.29498891897409951</v>
      </c>
      <c r="Q9" s="14">
        <f>Q7*U8</f>
        <v>0.92439759452628611</v>
      </c>
      <c r="R9" s="14">
        <f>R7*U9</f>
        <v>1.2606546965009036</v>
      </c>
      <c r="S9" s="14">
        <f>S7*U10</f>
        <v>1.1331461936772367</v>
      </c>
      <c r="T9" s="14">
        <f>T7*U11</f>
        <v>0.84722438983036052</v>
      </c>
      <c r="U9" s="17">
        <f t="shared" ref="U9:U11" si="14">U4/U$7</f>
        <v>0.29028233143112908</v>
      </c>
      <c r="W9" s="20"/>
      <c r="Z9" s="4" t="s">
        <v>0</v>
      </c>
      <c r="AA9" s="5">
        <f>5-AA3</f>
        <v>3</v>
      </c>
      <c r="AB9" s="5">
        <f t="shared" ref="AB9:AE9" si="15">5-AB3</f>
        <v>4</v>
      </c>
      <c r="AC9" s="5">
        <f t="shared" si="15"/>
        <v>2</v>
      </c>
      <c r="AD9" s="5">
        <f t="shared" si="15"/>
        <v>0</v>
      </c>
      <c r="AE9" s="24">
        <f t="shared" si="15"/>
        <v>1</v>
      </c>
      <c r="AH9" s="20"/>
    </row>
    <row r="10" spans="1:42" x14ac:dyDescent="0.3">
      <c r="G10" s="17">
        <f t="shared" si="12"/>
        <v>4.2361219491518005E-2</v>
      </c>
      <c r="N10" s="17">
        <f t="shared" si="13"/>
        <v>4.5933509020596244E-2</v>
      </c>
      <c r="U10" s="17">
        <f t="shared" si="14"/>
        <v>8.498596452579274E-2</v>
      </c>
      <c r="W10" s="20"/>
      <c r="Z10" s="4" t="s">
        <v>1</v>
      </c>
      <c r="AA10" s="4">
        <f t="shared" ref="AA10:AE10" si="16">5-AA4</f>
        <v>3</v>
      </c>
      <c r="AB10" s="4">
        <f t="shared" si="16"/>
        <v>2</v>
      </c>
      <c r="AC10" s="4">
        <f t="shared" si="16"/>
        <v>4</v>
      </c>
      <c r="AD10" s="4">
        <f t="shared" si="16"/>
        <v>0</v>
      </c>
      <c r="AE10" s="25">
        <f t="shared" si="16"/>
        <v>1</v>
      </c>
      <c r="AH10" s="20"/>
      <c r="AL10" s="20">
        <f>AL7/4</f>
        <v>9.75</v>
      </c>
      <c r="AM10" s="20">
        <f t="shared" ref="AM10:AP10" si="17">AM7/4</f>
        <v>9.25</v>
      </c>
      <c r="AN10" s="20">
        <f t="shared" si="17"/>
        <v>8.25</v>
      </c>
      <c r="AO10" s="20">
        <f t="shared" si="17"/>
        <v>2.75</v>
      </c>
      <c r="AP10" s="20">
        <f t="shared" si="17"/>
        <v>7</v>
      </c>
    </row>
    <row r="11" spans="1:42" x14ac:dyDescent="0.3">
      <c r="C11" s="15">
        <f>SUM(C9:F9)</f>
        <v>4.1654228745347854</v>
      </c>
      <c r="G11" s="17">
        <f t="shared" si="12"/>
        <v>8.4985964525792712E-2</v>
      </c>
      <c r="J11" s="15">
        <f>SUM(J9:M9)</f>
        <v>4.2065776905591763</v>
      </c>
      <c r="N11" s="17">
        <f t="shared" si="13"/>
        <v>0.11389445319811128</v>
      </c>
      <c r="Q11" s="15">
        <f>SUM(Q9:T9)</f>
        <v>4.1654228745347872</v>
      </c>
      <c r="U11" s="17">
        <f t="shared" si="14"/>
        <v>4.2361219491518026E-2</v>
      </c>
      <c r="W11" s="20"/>
      <c r="Z11" s="4" t="s">
        <v>2</v>
      </c>
      <c r="AA11" s="4">
        <f t="shared" ref="AA11:AE11" si="18">5-AA5</f>
        <v>4</v>
      </c>
      <c r="AB11" s="4">
        <f t="shared" si="18"/>
        <v>2</v>
      </c>
      <c r="AC11" s="4">
        <f t="shared" si="18"/>
        <v>3</v>
      </c>
      <c r="AD11" s="4">
        <f t="shared" si="18"/>
        <v>0</v>
      </c>
      <c r="AE11" s="25">
        <f t="shared" si="18"/>
        <v>1</v>
      </c>
      <c r="AH11" s="20"/>
      <c r="AK11" s="20">
        <f>1/(4-1)*SUM(AL11:AP11)</f>
        <v>1.25</v>
      </c>
      <c r="AL11" s="12">
        <f>(AL3-AL$10)^2</f>
        <v>6.25E-2</v>
      </c>
      <c r="AM11" s="12">
        <f t="shared" ref="AM11:AP11" si="19">(AM3-AM$10)^2</f>
        <v>0.5625</v>
      </c>
      <c r="AN11" s="12">
        <f t="shared" si="19"/>
        <v>1.5625</v>
      </c>
      <c r="AO11" s="12">
        <f t="shared" si="19"/>
        <v>0.5625</v>
      </c>
      <c r="AP11" s="12">
        <f t="shared" si="19"/>
        <v>1</v>
      </c>
    </row>
    <row r="12" spans="1:42" ht="15" thickBot="1" x14ac:dyDescent="0.35">
      <c r="W12" s="20"/>
      <c r="Z12" s="8" t="s">
        <v>3</v>
      </c>
      <c r="AA12" s="8">
        <f t="shared" ref="AA12:AE12" si="20">5-AA6</f>
        <v>3</v>
      </c>
      <c r="AB12" s="8">
        <f t="shared" si="20"/>
        <v>4</v>
      </c>
      <c r="AC12" s="8">
        <f t="shared" si="20"/>
        <v>1</v>
      </c>
      <c r="AD12" s="8">
        <f t="shared" si="20"/>
        <v>0</v>
      </c>
      <c r="AE12" s="26">
        <f t="shared" si="20"/>
        <v>2</v>
      </c>
      <c r="AH12" s="20"/>
      <c r="AK12" s="20">
        <f t="shared" ref="AK12:AK14" si="21">1/(4-1)*SUM(AL12:AP12)</f>
        <v>1.9166666666666665</v>
      </c>
      <c r="AL12" s="12">
        <f t="shared" ref="AL12:AP12" si="22">(AL4-AL$10)^2</f>
        <v>6.25E-2</v>
      </c>
      <c r="AM12" s="12">
        <f t="shared" si="22"/>
        <v>6.25E-2</v>
      </c>
      <c r="AN12" s="12">
        <f t="shared" si="22"/>
        <v>3.0625</v>
      </c>
      <c r="AO12" s="12">
        <f t="shared" si="22"/>
        <v>1.5625</v>
      </c>
      <c r="AP12" s="12">
        <f t="shared" si="22"/>
        <v>1</v>
      </c>
    </row>
    <row r="13" spans="1:42" x14ac:dyDescent="0.3">
      <c r="C13" s="18">
        <f>(C11-4)/(4-1)</f>
        <v>5.5140958178261812E-2</v>
      </c>
      <c r="J13" s="18">
        <f>(J11-4)/(4-1)</f>
        <v>6.8859230186392104E-2</v>
      </c>
      <c r="Q13" s="18">
        <f>(Q11-4)/(4-1)</f>
        <v>5.5140958178262402E-2</v>
      </c>
      <c r="W13" s="20"/>
      <c r="AA13" s="27">
        <f>SUM(AA9:AA12)</f>
        <v>13</v>
      </c>
      <c r="AB13" s="27">
        <f t="shared" ref="AB13:AE13" si="23">SUM(AB9:AB12)</f>
        <v>12</v>
      </c>
      <c r="AC13" s="27">
        <f t="shared" si="23"/>
        <v>10</v>
      </c>
      <c r="AD13" s="27">
        <f t="shared" si="23"/>
        <v>0</v>
      </c>
      <c r="AE13" s="27">
        <f t="shared" si="23"/>
        <v>5</v>
      </c>
      <c r="AF13" s="12">
        <f>SUM(AA13:AE13)</f>
        <v>40</v>
      </c>
      <c r="AH13" s="20"/>
      <c r="AK13" s="20">
        <f t="shared" si="21"/>
        <v>1.5833333333333333</v>
      </c>
      <c r="AL13" s="12">
        <f t="shared" ref="AL13:AP13" si="24">(AL5-AL$10)^2</f>
        <v>6.25E-2</v>
      </c>
      <c r="AM13" s="12">
        <f t="shared" si="24"/>
        <v>1.5625</v>
      </c>
      <c r="AN13" s="12">
        <f t="shared" si="24"/>
        <v>3.0625</v>
      </c>
      <c r="AO13" s="12">
        <f t="shared" si="24"/>
        <v>6.25E-2</v>
      </c>
      <c r="AP13" s="12">
        <f t="shared" si="24"/>
        <v>0</v>
      </c>
    </row>
    <row r="14" spans="1:42" x14ac:dyDescent="0.3">
      <c r="W14" s="20"/>
      <c r="AA14" s="27">
        <f>AA13/$AF13</f>
        <v>0.32500000000000001</v>
      </c>
      <c r="AB14" s="27">
        <f t="shared" ref="AB14:AE14" si="25">AB13/$AF13</f>
        <v>0.3</v>
      </c>
      <c r="AC14" s="27">
        <f t="shared" si="25"/>
        <v>0.25</v>
      </c>
      <c r="AD14" s="27">
        <f t="shared" si="25"/>
        <v>0</v>
      </c>
      <c r="AE14" s="27">
        <f t="shared" si="25"/>
        <v>0.125</v>
      </c>
      <c r="AH14" s="20"/>
      <c r="AK14" s="20">
        <f t="shared" si="21"/>
        <v>3.583333333333333</v>
      </c>
      <c r="AL14" s="12">
        <f t="shared" ref="AL14:AP14" si="26">(AL6-AL$10)^2</f>
        <v>0.5625</v>
      </c>
      <c r="AM14" s="12">
        <f t="shared" si="26"/>
        <v>0.5625</v>
      </c>
      <c r="AN14" s="12">
        <f t="shared" si="26"/>
        <v>5.0625</v>
      </c>
      <c r="AO14" s="12">
        <f t="shared" si="26"/>
        <v>0.5625</v>
      </c>
      <c r="AP14" s="12">
        <f t="shared" si="26"/>
        <v>4</v>
      </c>
    </row>
    <row r="15" spans="1:42" x14ac:dyDescent="0.3">
      <c r="C15" s="19">
        <f>C13/0.9</f>
        <v>6.1267731309179792E-2</v>
      </c>
      <c r="J15" s="19">
        <f>J13/0.9</f>
        <v>7.6510255762657894E-2</v>
      </c>
      <c r="Q15" s="19">
        <f>Q13/0.9</f>
        <v>6.1267731309180444E-2</v>
      </c>
      <c r="W15" s="20"/>
      <c r="AH15" s="20"/>
    </row>
    <row r="16" spans="1:42" x14ac:dyDescent="0.3">
      <c r="W16" s="20"/>
      <c r="Z16">
        <f>4*(5+1)/2</f>
        <v>12</v>
      </c>
      <c r="AA16" s="12">
        <f>SUM(AA3:AA6)</f>
        <v>7</v>
      </c>
      <c r="AB16" s="12">
        <f t="shared" ref="AB16:AE16" si="27">SUM(AB3:AB6)</f>
        <v>8</v>
      </c>
      <c r="AC16" s="12">
        <f t="shared" si="27"/>
        <v>10</v>
      </c>
      <c r="AD16" s="12">
        <f t="shared" si="27"/>
        <v>20</v>
      </c>
      <c r="AE16" s="12">
        <f t="shared" si="27"/>
        <v>15</v>
      </c>
      <c r="AH16" s="20"/>
      <c r="AL16" s="12">
        <f>(AL3-AL$10)^2</f>
        <v>6.25E-2</v>
      </c>
      <c r="AM16" s="12">
        <f t="shared" ref="AM16:AP16" si="28">(AM3-AM$10)^2</f>
        <v>0.5625</v>
      </c>
      <c r="AN16" s="12">
        <f t="shared" si="28"/>
        <v>1.5625</v>
      </c>
      <c r="AO16" s="12">
        <f t="shared" si="28"/>
        <v>0.5625</v>
      </c>
      <c r="AP16" s="12">
        <f t="shared" si="28"/>
        <v>1</v>
      </c>
    </row>
    <row r="17" spans="23:42" x14ac:dyDescent="0.3">
      <c r="W17" s="20"/>
      <c r="Z17" s="12">
        <f>SUM(AA17:AE17)</f>
        <v>155</v>
      </c>
      <c r="AA17" s="12">
        <f>(AA16-Z$16)^2</f>
        <v>25</v>
      </c>
      <c r="AB17" s="12">
        <f t="shared" ref="AB17:AE17" si="29">(AB16-AA$16)^2</f>
        <v>1</v>
      </c>
      <c r="AC17" s="12">
        <f t="shared" si="29"/>
        <v>4</v>
      </c>
      <c r="AD17" s="12">
        <f t="shared" si="29"/>
        <v>100</v>
      </c>
      <c r="AE17" s="12">
        <f t="shared" si="29"/>
        <v>25</v>
      </c>
      <c r="AH17" s="20"/>
      <c r="AL17" s="12">
        <f t="shared" ref="AL17:AP17" si="30">(AL4-AL$10)^2</f>
        <v>6.25E-2</v>
      </c>
      <c r="AM17" s="12">
        <f t="shared" si="30"/>
        <v>6.25E-2</v>
      </c>
      <c r="AN17" s="12">
        <f t="shared" si="30"/>
        <v>3.0625</v>
      </c>
      <c r="AO17" s="12">
        <f t="shared" si="30"/>
        <v>1.5625</v>
      </c>
      <c r="AP17" s="12">
        <f t="shared" si="30"/>
        <v>1</v>
      </c>
    </row>
    <row r="18" spans="23:42" x14ac:dyDescent="0.3">
      <c r="W18" s="20"/>
      <c r="Z18">
        <f>(12*Z17)/(4^2*5*(5^2-1))</f>
        <v>0.96875</v>
      </c>
      <c r="AH18" s="20"/>
      <c r="AL18" s="12">
        <f t="shared" ref="AL18:AP18" si="31">(AL5-AL$10)^2</f>
        <v>6.25E-2</v>
      </c>
      <c r="AM18" s="12">
        <f t="shared" si="31"/>
        <v>1.5625</v>
      </c>
      <c r="AN18" s="12">
        <f t="shared" si="31"/>
        <v>3.0625</v>
      </c>
      <c r="AO18" s="12">
        <f t="shared" si="31"/>
        <v>6.25E-2</v>
      </c>
      <c r="AP18" s="12">
        <f t="shared" si="31"/>
        <v>0</v>
      </c>
    </row>
    <row r="19" spans="23:42" x14ac:dyDescent="0.3">
      <c r="W19" s="20"/>
      <c r="AH19" s="20"/>
      <c r="AL19" s="12">
        <f t="shared" ref="AL19:AP19" si="32">(AL6-AL$10)^2</f>
        <v>0.5625</v>
      </c>
      <c r="AM19" s="12">
        <f t="shared" si="32"/>
        <v>0.5625</v>
      </c>
      <c r="AN19" s="12">
        <f t="shared" si="32"/>
        <v>5.0625</v>
      </c>
      <c r="AO19" s="12">
        <f t="shared" si="32"/>
        <v>0.5625</v>
      </c>
      <c r="AP19" s="12">
        <f t="shared" si="32"/>
        <v>4</v>
      </c>
    </row>
    <row r="20" spans="23:42" x14ac:dyDescent="0.3">
      <c r="W20" s="20"/>
      <c r="AH20" s="20"/>
      <c r="AL20" s="28">
        <f>1/(5-1)*SUM(AL16:AL19)</f>
        <v>0.1875</v>
      </c>
      <c r="AM20" s="28">
        <f t="shared" ref="AM20:AP20" si="33">1/(5-1)*SUM(AM16:AM19)</f>
        <v>0.6875</v>
      </c>
      <c r="AN20" s="28">
        <f t="shared" si="33"/>
        <v>3.1875</v>
      </c>
      <c r="AO20" s="28">
        <f t="shared" si="33"/>
        <v>0.6875</v>
      </c>
      <c r="AP20" s="28">
        <f t="shared" si="33"/>
        <v>1.5</v>
      </c>
    </row>
    <row r="21" spans="23:42" x14ac:dyDescent="0.3">
      <c r="W21" s="20"/>
      <c r="AH21" s="20"/>
    </row>
    <row r="22" spans="23:42" x14ac:dyDescent="0.3">
      <c r="W22" s="20"/>
      <c r="AH22" s="20"/>
    </row>
    <row r="23" spans="23:42" x14ac:dyDescent="0.3">
      <c r="W23" s="20"/>
      <c r="AH23" s="20"/>
    </row>
    <row r="24" spans="23:42" x14ac:dyDescent="0.3">
      <c r="W24" s="20"/>
      <c r="AH24" s="20"/>
    </row>
    <row r="25" spans="23:42" x14ac:dyDescent="0.3">
      <c r="W25" s="20"/>
      <c r="AH25" s="20"/>
    </row>
    <row r="26" spans="23:42" x14ac:dyDescent="0.3">
      <c r="AH26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Акукамбеков</dc:creator>
  <cp:lastModifiedBy>Владислав Акукамбеков</cp:lastModifiedBy>
  <dcterms:created xsi:type="dcterms:W3CDTF">2025-12-14T16:11:56Z</dcterms:created>
  <dcterms:modified xsi:type="dcterms:W3CDTF">2025-12-14T17:32:47Z</dcterms:modified>
</cp:coreProperties>
</file>